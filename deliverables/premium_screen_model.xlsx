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saathvikmaheshuni/premium-screen-investment-model/deliverables/"/>
    </mc:Choice>
  </mc:AlternateContent>
  <xr:revisionPtr revIDLastSave="0" documentId="13_ncr:1_{ABB06A2D-588E-A542-9534-01F0AD3BF5AA}" xr6:coauthVersionLast="47" xr6:coauthVersionMax="47" xr10:uidLastSave="{00000000-0000-0000-0000-000000000000}"/>
  <bookViews>
    <workbookView xWindow="0" yWindow="600" windowWidth="28800" windowHeight="15600" xr2:uid="{00000000-000D-0000-FFFF-FFFF00000000}"/>
  </bookViews>
  <sheets>
    <sheet name="Inputs" sheetId="1" r:id="rId1"/>
    <sheet name="Model" sheetId="2" r:id="rId2"/>
    <sheet name="Scenarios" sheetId="3" r:id="rId3"/>
    <sheet name="Sensitivity" sheetId="4" r:id="rId4"/>
    <sheet name="Summary" sheetId="5" r:id="rId5"/>
    <sheet name="Checks" sheetId="6" r:id="rId6"/>
    <sheet name="scenario_results" sheetId="7" r:id="rId7"/>
    <sheet name="scenario_cash_flows" sheetId="8" r:id="rId8"/>
    <sheet name="sensitivity_grid" sheetId="9" r:id="rId9"/>
    <sheet name="key_metrics" sheetId="10" r:id="rId10"/>
    <sheet name="model_inputs" sheetId="11" r:id="rId11"/>
    <sheet name="public_inputs" sheetId="12" r:id="rId12"/>
    <sheet name="tableau_extract" sheetId="13" r:id="rId13"/>
    <sheet name="Charts"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13" l="1"/>
  <c r="B36" i="13"/>
  <c r="B35" i="13"/>
  <c r="B34" i="13"/>
  <c r="B33" i="13"/>
  <c r="B32" i="13"/>
  <c r="B31" i="13"/>
  <c r="B30" i="13"/>
  <c r="B29" i="13"/>
  <c r="B28" i="13"/>
  <c r="B27" i="13"/>
  <c r="B26" i="13"/>
  <c r="B25" i="13"/>
  <c r="B24" i="13"/>
  <c r="B23" i="13"/>
  <c r="B22" i="13"/>
  <c r="B21" i="13"/>
  <c r="B20" i="13"/>
  <c r="B19" i="13"/>
  <c r="B18" i="13"/>
  <c r="B17" i="13"/>
  <c r="B16" i="13"/>
  <c r="B15" i="13"/>
  <c r="B14" i="13"/>
  <c r="B13" i="13"/>
  <c r="B12" i="13"/>
  <c r="B11" i="13"/>
  <c r="B10" i="13"/>
  <c r="B9" i="13"/>
  <c r="B8" i="13"/>
  <c r="B7" i="13"/>
  <c r="B6" i="13"/>
  <c r="B5" i="13"/>
  <c r="B4" i="13"/>
  <c r="B3" i="13"/>
  <c r="B2" i="13"/>
  <c r="D20" i="12"/>
  <c r="C20" i="12"/>
  <c r="B20" i="12"/>
  <c r="A20" i="12"/>
  <c r="D19" i="12"/>
  <c r="C19" i="12"/>
  <c r="B19" i="12"/>
  <c r="A19" i="12"/>
  <c r="D18" i="12"/>
  <c r="C18" i="12"/>
  <c r="B18" i="12"/>
  <c r="A18" i="12"/>
  <c r="D17" i="12"/>
  <c r="C17" i="12"/>
  <c r="B17" i="12"/>
  <c r="A17" i="12"/>
  <c r="D16" i="12"/>
  <c r="C16" i="12"/>
  <c r="B16" i="12"/>
  <c r="A16" i="12"/>
  <c r="D15" i="12"/>
  <c r="C15" i="12"/>
  <c r="B15" i="12"/>
  <c r="A15" i="12"/>
  <c r="D14" i="12"/>
  <c r="C14" i="12"/>
  <c r="B14" i="12"/>
  <c r="A14" i="12"/>
  <c r="D13" i="12"/>
  <c r="C13" i="12"/>
  <c r="B13" i="12"/>
  <c r="A13" i="12"/>
  <c r="D12" i="12"/>
  <c r="C12" i="12"/>
  <c r="B12" i="12"/>
  <c r="A12" i="12"/>
  <c r="D11" i="12"/>
  <c r="C11" i="12"/>
  <c r="B11" i="12"/>
  <c r="A11" i="12"/>
  <c r="D10" i="12"/>
  <c r="C10" i="12"/>
  <c r="B10" i="12"/>
  <c r="A10" i="12"/>
  <c r="D9" i="12"/>
  <c r="C9" i="12"/>
  <c r="B9" i="12"/>
  <c r="A9" i="12"/>
  <c r="D8" i="12"/>
  <c r="C8" i="12"/>
  <c r="B8" i="12"/>
  <c r="A8" i="12"/>
  <c r="D7" i="12"/>
  <c r="C7" i="12"/>
  <c r="B7" i="12"/>
  <c r="A7" i="12"/>
  <c r="D6" i="12"/>
  <c r="C6" i="12"/>
  <c r="B6" i="12"/>
  <c r="A6" i="12"/>
  <c r="D5" i="12"/>
  <c r="C5" i="12"/>
  <c r="B5" i="12"/>
  <c r="A5" i="12"/>
  <c r="D4" i="12"/>
  <c r="C4" i="12"/>
  <c r="B4" i="12"/>
  <c r="A4" i="12"/>
  <c r="D3" i="12"/>
  <c r="C3" i="12"/>
  <c r="B3" i="12"/>
  <c r="A3" i="12"/>
  <c r="D2" i="12"/>
  <c r="C2" i="12"/>
  <c r="B2" i="12"/>
  <c r="A2" i="12"/>
  <c r="F49" i="11"/>
  <c r="E49" i="11"/>
  <c r="D49" i="11"/>
  <c r="C49" i="11"/>
  <c r="B49" i="11"/>
  <c r="A49" i="11"/>
  <c r="F48" i="11"/>
  <c r="E48" i="11"/>
  <c r="D48" i="11"/>
  <c r="C48" i="11"/>
  <c r="B48" i="11"/>
  <c r="A48" i="11"/>
  <c r="F47" i="11"/>
  <c r="E47" i="11"/>
  <c r="A47" i="11"/>
  <c r="F46" i="11"/>
  <c r="E46" i="11"/>
  <c r="D46" i="11"/>
  <c r="C46" i="11"/>
  <c r="B46" i="11"/>
  <c r="A46" i="11"/>
  <c r="F45" i="11"/>
  <c r="E45" i="11"/>
  <c r="C45" i="11"/>
  <c r="B45" i="11"/>
  <c r="A45" i="11"/>
  <c r="F44" i="11"/>
  <c r="E44" i="11"/>
  <c r="D44" i="11"/>
  <c r="C44" i="11"/>
  <c r="B44" i="11"/>
  <c r="A44" i="11"/>
  <c r="F43" i="11"/>
  <c r="E43" i="11"/>
  <c r="D43" i="11"/>
  <c r="C43" i="11"/>
  <c r="B43" i="11"/>
  <c r="A43" i="11"/>
  <c r="F42" i="11"/>
  <c r="E42" i="11"/>
  <c r="D42" i="11"/>
  <c r="C42" i="11"/>
  <c r="B42" i="11"/>
  <c r="A42" i="11"/>
  <c r="F41" i="11"/>
  <c r="E41" i="11"/>
  <c r="D41" i="11"/>
  <c r="C41" i="11"/>
  <c r="A41" i="11"/>
  <c r="F40" i="11"/>
  <c r="E40" i="11"/>
  <c r="D40" i="11"/>
  <c r="C40" i="11"/>
  <c r="B40" i="11"/>
  <c r="A40" i="11"/>
  <c r="F39" i="11"/>
  <c r="E39" i="11"/>
  <c r="D39" i="11"/>
  <c r="C39" i="11"/>
  <c r="B39" i="11"/>
  <c r="A39" i="11"/>
  <c r="F38" i="11"/>
  <c r="E38" i="11"/>
  <c r="D38" i="11"/>
  <c r="C38" i="11"/>
  <c r="B38" i="11"/>
  <c r="A38" i="11"/>
  <c r="F37" i="11"/>
  <c r="E37" i="11"/>
  <c r="D37" i="11"/>
  <c r="C37" i="11"/>
  <c r="B37" i="11"/>
  <c r="A37" i="11"/>
  <c r="F36" i="11"/>
  <c r="E36" i="11"/>
  <c r="D36" i="11"/>
  <c r="C36" i="11"/>
  <c r="B36" i="11"/>
  <c r="A36" i="11"/>
  <c r="F35" i="11"/>
  <c r="E35" i="11"/>
  <c r="D35" i="11"/>
  <c r="C35" i="11"/>
  <c r="B35" i="11"/>
  <c r="A35" i="11"/>
  <c r="F34" i="11"/>
  <c r="E34" i="11"/>
  <c r="D34" i="11"/>
  <c r="C34" i="11"/>
  <c r="B34" i="11"/>
  <c r="A34" i="11"/>
  <c r="F33" i="11"/>
  <c r="E33" i="11"/>
  <c r="D33" i="11"/>
  <c r="C33" i="11"/>
  <c r="B33" i="11"/>
  <c r="A33" i="11"/>
  <c r="F32" i="11"/>
  <c r="E32" i="11"/>
  <c r="D32" i="11"/>
  <c r="C32" i="11"/>
  <c r="B32" i="11"/>
  <c r="A32" i="11"/>
  <c r="F31" i="11"/>
  <c r="E31" i="11"/>
  <c r="D31" i="11"/>
  <c r="C31" i="11"/>
  <c r="A31" i="11"/>
  <c r="F30" i="11"/>
  <c r="E30" i="11"/>
  <c r="D30" i="11"/>
  <c r="C30" i="11"/>
  <c r="B30" i="11"/>
  <c r="A30" i="11"/>
  <c r="F29" i="11"/>
  <c r="E29" i="11"/>
  <c r="D29" i="11"/>
  <c r="C29" i="11"/>
  <c r="A29" i="11"/>
  <c r="F28" i="11"/>
  <c r="E28" i="11"/>
  <c r="D28" i="11"/>
  <c r="C28" i="11"/>
  <c r="B28" i="11"/>
  <c r="A28" i="11"/>
  <c r="F27" i="11"/>
  <c r="E27" i="11"/>
  <c r="D27" i="11"/>
  <c r="C27" i="11"/>
  <c r="B27" i="11"/>
  <c r="A27" i="11"/>
  <c r="F26" i="11"/>
  <c r="E26" i="11"/>
  <c r="D26" i="11"/>
  <c r="C26" i="11"/>
  <c r="A26" i="11"/>
  <c r="F25" i="11"/>
  <c r="E25" i="11"/>
  <c r="D25" i="11"/>
  <c r="C25" i="11"/>
  <c r="A25" i="11"/>
  <c r="F24" i="11"/>
  <c r="E24" i="11"/>
  <c r="D24" i="11"/>
  <c r="C24" i="11"/>
  <c r="A24" i="11"/>
  <c r="F23" i="11"/>
  <c r="E23" i="11"/>
  <c r="D23" i="11"/>
  <c r="C23" i="11"/>
  <c r="A23" i="11"/>
  <c r="F22" i="11"/>
  <c r="E22" i="11"/>
  <c r="D22" i="11"/>
  <c r="C22" i="11"/>
  <c r="A22" i="11"/>
  <c r="F21" i="11"/>
  <c r="E21" i="11"/>
  <c r="D21" i="11"/>
  <c r="C21" i="11"/>
  <c r="A21" i="11"/>
  <c r="F20" i="11"/>
  <c r="E20" i="11"/>
  <c r="D20" i="11"/>
  <c r="C20" i="11"/>
  <c r="B20" i="11"/>
  <c r="A20" i="11"/>
  <c r="F19" i="11"/>
  <c r="E19" i="11"/>
  <c r="D19" i="11"/>
  <c r="C19" i="11"/>
  <c r="B19" i="11"/>
  <c r="A19" i="11"/>
  <c r="F18" i="11"/>
  <c r="E18" i="11"/>
  <c r="D18" i="11"/>
  <c r="C18" i="11"/>
  <c r="B18" i="11"/>
  <c r="A18" i="11"/>
  <c r="F17" i="11"/>
  <c r="E17" i="11"/>
  <c r="D17" i="11"/>
  <c r="C17" i="11"/>
  <c r="B17" i="11"/>
  <c r="A17" i="11"/>
  <c r="F16" i="11"/>
  <c r="E16" i="11"/>
  <c r="D16" i="11"/>
  <c r="C16" i="11"/>
  <c r="B16" i="11"/>
  <c r="A16" i="11"/>
  <c r="F15" i="11"/>
  <c r="E15" i="11"/>
  <c r="D15" i="11"/>
  <c r="C15" i="11"/>
  <c r="B15" i="11"/>
  <c r="A15" i="11"/>
  <c r="F14" i="11"/>
  <c r="E14" i="11"/>
  <c r="D14" i="11"/>
  <c r="C14" i="11"/>
  <c r="B14" i="11"/>
  <c r="A14" i="11"/>
  <c r="F13" i="11"/>
  <c r="E13" i="11"/>
  <c r="D13" i="11"/>
  <c r="C13" i="11"/>
  <c r="B13" i="11"/>
  <c r="A13" i="11"/>
  <c r="F12" i="11"/>
  <c r="E12" i="11"/>
  <c r="D12" i="11"/>
  <c r="C12" i="11"/>
  <c r="B12" i="11"/>
  <c r="A12" i="11"/>
  <c r="F11" i="11"/>
  <c r="E11" i="11"/>
  <c r="D11" i="11"/>
  <c r="C11" i="11"/>
  <c r="B11" i="11"/>
  <c r="A11" i="11"/>
  <c r="F10" i="11"/>
  <c r="E10" i="11"/>
  <c r="D10" i="11"/>
  <c r="C10" i="11"/>
  <c r="B10" i="11"/>
  <c r="A10" i="11"/>
  <c r="F9" i="11"/>
  <c r="E9" i="11"/>
  <c r="D9" i="11"/>
  <c r="C9" i="11"/>
  <c r="B9" i="11"/>
  <c r="A9" i="11"/>
  <c r="F8" i="11"/>
  <c r="E8" i="11"/>
  <c r="D8" i="11"/>
  <c r="C8" i="11"/>
  <c r="B8" i="11"/>
  <c r="A8" i="11"/>
  <c r="F7" i="11"/>
  <c r="E7" i="11"/>
  <c r="D7" i="11"/>
  <c r="C7" i="11"/>
  <c r="B7" i="11"/>
  <c r="A7" i="11"/>
  <c r="F6" i="11"/>
  <c r="E6" i="11"/>
  <c r="D6" i="11"/>
  <c r="C6" i="11"/>
  <c r="B6" i="11"/>
  <c r="A6" i="11"/>
  <c r="F5" i="11"/>
  <c r="E5" i="11"/>
  <c r="D5" i="11"/>
  <c r="C5" i="11"/>
  <c r="B5" i="11"/>
  <c r="A5" i="11"/>
  <c r="F4" i="11"/>
  <c r="E4" i="11"/>
  <c r="D4" i="11"/>
  <c r="C4" i="11"/>
  <c r="B4" i="11"/>
  <c r="A4" i="11"/>
  <c r="F3" i="11"/>
  <c r="E3" i="11"/>
  <c r="D3" i="11"/>
  <c r="C3" i="11"/>
  <c r="B3" i="11"/>
  <c r="A3" i="11"/>
  <c r="F2" i="11"/>
  <c r="E2" i="11"/>
  <c r="D2" i="11"/>
  <c r="C2" i="11"/>
  <c r="B2" i="11"/>
  <c r="A2" i="11"/>
  <c r="B15" i="9"/>
  <c r="E51" i="13" s="1"/>
  <c r="B10" i="9"/>
  <c r="E46" i="13" s="1"/>
  <c r="A3" i="9"/>
  <c r="D39" i="13" s="1"/>
  <c r="B2" i="8"/>
  <c r="B4" i="7"/>
  <c r="E3" i="7"/>
  <c r="B10" i="4"/>
  <c r="B9" i="4"/>
  <c r="B8" i="4"/>
  <c r="A16" i="9" s="1"/>
  <c r="D52" i="13" s="1"/>
  <c r="B7" i="4"/>
  <c r="B6" i="4"/>
  <c r="A48" i="14" s="1"/>
  <c r="G4" i="4"/>
  <c r="B16" i="9" s="1"/>
  <c r="E52" i="13" s="1"/>
  <c r="F4" i="4"/>
  <c r="B5" i="9" s="1"/>
  <c r="E41" i="13" s="1"/>
  <c r="E4" i="4"/>
  <c r="B24" i="9" s="1"/>
  <c r="E60" i="13" s="1"/>
  <c r="D4" i="4"/>
  <c r="B23" i="9" s="1"/>
  <c r="E59" i="13" s="1"/>
  <c r="C4" i="4"/>
  <c r="B2" i="9" s="1"/>
  <c r="E38" i="13" s="1"/>
  <c r="C45" i="3"/>
  <c r="B24" i="8" s="1"/>
  <c r="C27" i="13" s="1"/>
  <c r="C33" i="3"/>
  <c r="B13" i="8" s="1"/>
  <c r="C16" i="13" s="1"/>
  <c r="C21" i="3"/>
  <c r="D9" i="3"/>
  <c r="C9" i="3"/>
  <c r="B9" i="3"/>
  <c r="C8" i="3"/>
  <c r="B8" i="3"/>
  <c r="E2" i="7" s="1"/>
  <c r="D7" i="3"/>
  <c r="D4" i="7" s="1"/>
  <c r="C7" i="3"/>
  <c r="D3" i="7" s="1"/>
  <c r="B7" i="3"/>
  <c r="D2" i="7" s="1"/>
  <c r="D6" i="3"/>
  <c r="C4" i="7" s="1"/>
  <c r="C6" i="3"/>
  <c r="C3" i="7" s="1"/>
  <c r="B6" i="3"/>
  <c r="C2" i="7" s="1"/>
  <c r="D5" i="3"/>
  <c r="C5" i="3"/>
  <c r="B3" i="7" s="1"/>
  <c r="B5" i="3"/>
  <c r="B2" i="7" s="1"/>
  <c r="D43" i="2"/>
  <c r="D4" i="2"/>
  <c r="D33" i="3" s="1"/>
  <c r="E60" i="1"/>
  <c r="E59" i="1"/>
  <c r="E58" i="1"/>
  <c r="E57" i="1"/>
  <c r="E56" i="1"/>
  <c r="B52" i="1"/>
  <c r="B41" i="11" s="1"/>
  <c r="B40" i="1"/>
  <c r="B34" i="1"/>
  <c r="B26" i="11" s="1"/>
  <c r="B33" i="1"/>
  <c r="B25" i="11" s="1"/>
  <c r="B32" i="1"/>
  <c r="B24" i="11" s="1"/>
  <c r="B31" i="1"/>
  <c r="D10" i="2" s="1"/>
  <c r="D49" i="3" s="1"/>
  <c r="B30" i="1"/>
  <c r="B29" i="1"/>
  <c r="D5" i="4" s="1"/>
  <c r="C3" i="9" s="1"/>
  <c r="F39" i="13" s="1"/>
  <c r="C3" i="1"/>
  <c r="A2" i="2" s="1"/>
  <c r="B8" i="9" l="1"/>
  <c r="E44" i="13" s="1"/>
  <c r="A15" i="9"/>
  <c r="D51" i="13" s="1"/>
  <c r="C8" i="9"/>
  <c r="F44" i="13" s="1"/>
  <c r="C5" i="2"/>
  <c r="D7" i="2"/>
  <c r="D14" i="2" s="1"/>
  <c r="B9" i="9"/>
  <c r="E45" i="13" s="1"/>
  <c r="B21" i="11"/>
  <c r="D59" i="1"/>
  <c r="C5" i="4"/>
  <c r="C12" i="9" s="1"/>
  <c r="F48" i="13" s="1"/>
  <c r="B15" i="5"/>
  <c r="B18" i="9"/>
  <c r="E54" i="13" s="1"/>
  <c r="D21" i="3"/>
  <c r="E5" i="4"/>
  <c r="C14" i="9" s="1"/>
  <c r="F50" i="13" s="1"/>
  <c r="B3" i="9"/>
  <c r="E39" i="13" s="1"/>
  <c r="A13" i="9"/>
  <c r="D49" i="13" s="1"/>
  <c r="C18" i="9"/>
  <c r="F54" i="13" s="1"/>
  <c r="F5" i="4"/>
  <c r="C15" i="9" s="1"/>
  <c r="F51" i="13" s="1"/>
  <c r="A5" i="9"/>
  <c r="D41" i="13" s="1"/>
  <c r="B13" i="9"/>
  <c r="E49" i="13" s="1"/>
  <c r="B20" i="9"/>
  <c r="E56" i="13" s="1"/>
  <c r="C13" i="9"/>
  <c r="F49" i="13" s="1"/>
  <c r="D15" i="2"/>
  <c r="B14" i="8"/>
  <c r="C17" i="13" s="1"/>
  <c r="B29" i="11"/>
  <c r="B42" i="1"/>
  <c r="D6" i="2"/>
  <c r="D8" i="2" s="1"/>
  <c r="C33" i="2" s="1"/>
  <c r="D27" i="2"/>
  <c r="B3" i="8"/>
  <c r="B22" i="11"/>
  <c r="D9" i="2"/>
  <c r="D5" i="2"/>
  <c r="D45" i="3"/>
  <c r="A20" i="9"/>
  <c r="D56" i="13" s="1"/>
  <c r="A18" i="9"/>
  <c r="D54" i="13" s="1"/>
  <c r="A51" i="14"/>
  <c r="A17" i="9"/>
  <c r="D53" i="13" s="1"/>
  <c r="A21" i="9"/>
  <c r="D57" i="13" s="1"/>
  <c r="B26" i="9"/>
  <c r="E62" i="13" s="1"/>
  <c r="B11" i="9"/>
  <c r="E47" i="13" s="1"/>
  <c r="B6" i="9"/>
  <c r="E42" i="13" s="1"/>
  <c r="F47" i="14"/>
  <c r="B21" i="9"/>
  <c r="E57" i="13" s="1"/>
  <c r="A10" i="9"/>
  <c r="D46" i="13" s="1"/>
  <c r="A8" i="9"/>
  <c r="D44" i="13" s="1"/>
  <c r="A49" i="14"/>
  <c r="A9" i="9"/>
  <c r="D45" i="13" s="1"/>
  <c r="A7" i="9"/>
  <c r="D43" i="13" s="1"/>
  <c r="A11" i="9"/>
  <c r="D47" i="13" s="1"/>
  <c r="B23" i="11"/>
  <c r="E4" i="2"/>
  <c r="E5" i="2" s="1"/>
  <c r="A19" i="9"/>
  <c r="D55" i="13" s="1"/>
  <c r="C19" i="9"/>
  <c r="F55" i="13" s="1"/>
  <c r="C9" i="9"/>
  <c r="F45" i="13" s="1"/>
  <c r="C4" i="9"/>
  <c r="F40" i="13" s="1"/>
  <c r="A26" i="9"/>
  <c r="D62" i="13" s="1"/>
  <c r="A24" i="9"/>
  <c r="D60" i="13" s="1"/>
  <c r="A22" i="9"/>
  <c r="D58" i="13" s="1"/>
  <c r="A52" i="14"/>
  <c r="A25" i="9"/>
  <c r="D61" i="13" s="1"/>
  <c r="C10" i="9"/>
  <c r="F46" i="13" s="1"/>
  <c r="C20" i="9"/>
  <c r="F56" i="13" s="1"/>
  <c r="C5" i="9"/>
  <c r="F41" i="13" s="1"/>
  <c r="C25" i="9"/>
  <c r="F61" i="13" s="1"/>
  <c r="A23" i="9"/>
  <c r="D59" i="13" s="1"/>
  <c r="C22" i="9"/>
  <c r="F58" i="13" s="1"/>
  <c r="C17" i="9"/>
  <c r="F53" i="13" s="1"/>
  <c r="C7" i="9"/>
  <c r="F43" i="13" s="1"/>
  <c r="D25" i="3"/>
  <c r="D37" i="3"/>
  <c r="B47" i="14"/>
  <c r="B22" i="9"/>
  <c r="E58" i="13" s="1"/>
  <c r="B7" i="9"/>
  <c r="E43" i="13" s="1"/>
  <c r="B17" i="9"/>
  <c r="E53" i="13" s="1"/>
  <c r="B12" i="9"/>
  <c r="E48" i="13" s="1"/>
  <c r="G5" i="4"/>
  <c r="C2" i="9"/>
  <c r="F38" i="13" s="1"/>
  <c r="C5" i="13"/>
  <c r="A25" i="14"/>
  <c r="C23" i="9"/>
  <c r="F59" i="13" s="1"/>
  <c r="D47" i="14"/>
  <c r="B19" i="9"/>
  <c r="E55" i="13" s="1"/>
  <c r="B14" i="9"/>
  <c r="E50" i="13" s="1"/>
  <c r="E47" i="14"/>
  <c r="B4" i="9"/>
  <c r="E40" i="13" s="1"/>
  <c r="B25" i="9"/>
  <c r="E61" i="13" s="1"/>
  <c r="C47" i="14"/>
  <c r="A6" i="9"/>
  <c r="D42" i="13" s="1"/>
  <c r="A4" i="9"/>
  <c r="D40" i="13" s="1"/>
  <c r="A2" i="9"/>
  <c r="D38" i="13" s="1"/>
  <c r="A50" i="14"/>
  <c r="A12" i="9"/>
  <c r="D48" i="13" s="1"/>
  <c r="A14" i="9"/>
  <c r="D50" i="13" s="1"/>
  <c r="D20" i="2" l="1"/>
  <c r="D45" i="11"/>
  <c r="D8" i="3"/>
  <c r="E4" i="7" s="1"/>
  <c r="E7" i="2"/>
  <c r="E13" i="2" s="1"/>
  <c r="D24" i="3"/>
  <c r="C24" i="9"/>
  <c r="F60" i="13" s="1"/>
  <c r="D36" i="3"/>
  <c r="D13" i="2"/>
  <c r="C11" i="9"/>
  <c r="F47" i="13" s="1"/>
  <c r="C6" i="9"/>
  <c r="F42" i="13" s="1"/>
  <c r="C16" i="9"/>
  <c r="F52" i="13" s="1"/>
  <c r="C26" i="9"/>
  <c r="F62" i="13" s="1"/>
  <c r="C21" i="9"/>
  <c r="F57" i="13" s="1"/>
  <c r="E15" i="2"/>
  <c r="E36" i="3"/>
  <c r="C61" i="1"/>
  <c r="B61" i="1"/>
  <c r="B31" i="11"/>
  <c r="E61" i="1"/>
  <c r="E30" i="2" s="1"/>
  <c r="D61" i="1"/>
  <c r="D48" i="3"/>
  <c r="B25" i="8"/>
  <c r="C28" i="13" s="1"/>
  <c r="A26" i="14"/>
  <c r="C6" i="13"/>
  <c r="D34" i="3"/>
  <c r="D21" i="2"/>
  <c r="D46" i="3"/>
  <c r="D25" i="2"/>
  <c r="D26" i="2" s="1"/>
  <c r="E33" i="3"/>
  <c r="E21" i="3"/>
  <c r="E9" i="2"/>
  <c r="E48" i="3" s="1"/>
  <c r="E45" i="3"/>
  <c r="E6" i="2"/>
  <c r="F4" i="2"/>
  <c r="E10" i="2"/>
  <c r="D22" i="3"/>
  <c r="D16" i="2"/>
  <c r="E14" i="2" l="1"/>
  <c r="D19" i="2"/>
  <c r="E24" i="3"/>
  <c r="D24" i="2"/>
  <c r="D22" i="2"/>
  <c r="C43" i="2"/>
  <c r="B4" i="10" s="1"/>
  <c r="B47" i="11"/>
  <c r="B10" i="3"/>
  <c r="D23" i="3"/>
  <c r="D26" i="3" s="1"/>
  <c r="B4" i="8"/>
  <c r="C47" i="11"/>
  <c r="C10" i="3"/>
  <c r="E25" i="2"/>
  <c r="E26" i="2" s="1"/>
  <c r="E8" i="2"/>
  <c r="E20" i="2" s="1"/>
  <c r="E16" i="2"/>
  <c r="E19" i="2" s="1"/>
  <c r="F45" i="3"/>
  <c r="G4" i="2"/>
  <c r="F21" i="3"/>
  <c r="F6" i="2"/>
  <c r="F5" i="2"/>
  <c r="F33" i="3"/>
  <c r="F30" i="2"/>
  <c r="F10" i="2"/>
  <c r="F9" i="2"/>
  <c r="F7" i="2"/>
  <c r="E25" i="3"/>
  <c r="E37" i="3"/>
  <c r="E27" i="2"/>
  <c r="E49" i="3"/>
  <c r="D47" i="3"/>
  <c r="D50" i="3" s="1"/>
  <c r="D47" i="11"/>
  <c r="D10" i="3"/>
  <c r="D35" i="3"/>
  <c r="D38" i="3" s="1"/>
  <c r="B15" i="8"/>
  <c r="C18" i="13" s="1"/>
  <c r="B26" i="8"/>
  <c r="C29" i="13" s="1"/>
  <c r="C32" i="2"/>
  <c r="C35" i="2" s="1"/>
  <c r="D30" i="2"/>
  <c r="E24" i="2" l="1"/>
  <c r="D17" i="3"/>
  <c r="D51" i="3"/>
  <c r="F36" i="3"/>
  <c r="F14" i="2"/>
  <c r="F48" i="3"/>
  <c r="F24" i="3"/>
  <c r="F13" i="2"/>
  <c r="F15" i="2"/>
  <c r="F25" i="2" s="1"/>
  <c r="F26" i="2" s="1"/>
  <c r="E34" i="3"/>
  <c r="C7" i="13"/>
  <c r="A27" i="14"/>
  <c r="B16" i="8"/>
  <c r="C19" i="13" s="1"/>
  <c r="F37" i="3"/>
  <c r="F49" i="3"/>
  <c r="F27" i="2"/>
  <c r="F25" i="3"/>
  <c r="B27" i="8"/>
  <c r="C30" i="13" s="1"/>
  <c r="B17" i="3"/>
  <c r="D27" i="3"/>
  <c r="E22" i="3"/>
  <c r="B11" i="5"/>
  <c r="C28" i="3"/>
  <c r="C29" i="3" s="1"/>
  <c r="F2" i="7"/>
  <c r="D23" i="2"/>
  <c r="D28" i="2"/>
  <c r="E21" i="2"/>
  <c r="E22" i="2" s="1"/>
  <c r="F4" i="7"/>
  <c r="D11" i="5"/>
  <c r="C52" i="3"/>
  <c r="C53" i="3" s="1"/>
  <c r="B5" i="8"/>
  <c r="F3" i="7"/>
  <c r="C11" i="5"/>
  <c r="C40" i="3"/>
  <c r="C41" i="3" s="1"/>
  <c r="D39" i="3"/>
  <c r="C17" i="3"/>
  <c r="F8" i="2"/>
  <c r="F34" i="3" s="1"/>
  <c r="F16" i="2"/>
  <c r="C37" i="2"/>
  <c r="C36" i="2"/>
  <c r="G45" i="3"/>
  <c r="H4" i="2"/>
  <c r="G33" i="3"/>
  <c r="G6" i="2"/>
  <c r="G5" i="2"/>
  <c r="G10" i="2"/>
  <c r="G30" i="2"/>
  <c r="G9" i="2"/>
  <c r="G21" i="3"/>
  <c r="G7" i="2"/>
  <c r="E46" i="3"/>
  <c r="F19" i="2" l="1"/>
  <c r="F35" i="3"/>
  <c r="F38" i="3" s="1"/>
  <c r="E23" i="2"/>
  <c r="E28" i="2"/>
  <c r="C2" i="8"/>
  <c r="J5" i="13" s="1"/>
  <c r="C30" i="3"/>
  <c r="B17" i="8"/>
  <c r="C20" i="13" s="1"/>
  <c r="E38" i="3"/>
  <c r="E35" i="3"/>
  <c r="G24" i="3"/>
  <c r="G36" i="3"/>
  <c r="G14" i="2"/>
  <c r="G48" i="3"/>
  <c r="G13" i="2"/>
  <c r="G15" i="2"/>
  <c r="G25" i="2" s="1"/>
  <c r="G26" i="2" s="1"/>
  <c r="H33" i="3"/>
  <c r="H45" i="3"/>
  <c r="H6" i="2"/>
  <c r="H5" i="2"/>
  <c r="I4" i="2"/>
  <c r="H9" i="2"/>
  <c r="H21" i="3"/>
  <c r="H30" i="2"/>
  <c r="H10" i="2"/>
  <c r="H7" i="2"/>
  <c r="E23" i="3"/>
  <c r="E26" i="3" s="1"/>
  <c r="C13" i="8"/>
  <c r="J16" i="13" s="1"/>
  <c r="C42" i="3"/>
  <c r="G37" i="3"/>
  <c r="G49" i="3"/>
  <c r="G25" i="3"/>
  <c r="G27" i="2"/>
  <c r="D10" i="5"/>
  <c r="K4" i="7"/>
  <c r="E47" i="3"/>
  <c r="E50" i="3"/>
  <c r="F20" i="2"/>
  <c r="C24" i="8"/>
  <c r="J27" i="13" s="1"/>
  <c r="C54" i="3"/>
  <c r="B6" i="8"/>
  <c r="K3" i="7"/>
  <c r="C10" i="5"/>
  <c r="F24" i="2"/>
  <c r="F46" i="3"/>
  <c r="B28" i="8"/>
  <c r="C31" i="13" s="1"/>
  <c r="K2" i="7"/>
  <c r="B10" i="5"/>
  <c r="F22" i="3"/>
  <c r="D31" i="2"/>
  <c r="G16" i="2"/>
  <c r="G8" i="2"/>
  <c r="G20" i="2" s="1"/>
  <c r="A28" i="14"/>
  <c r="C8" i="13"/>
  <c r="F21" i="2"/>
  <c r="F22" i="2" l="1"/>
  <c r="F23" i="2"/>
  <c r="F28" i="2" s="1"/>
  <c r="E27" i="3"/>
  <c r="F39" i="3"/>
  <c r="H49" i="3"/>
  <c r="H37" i="3"/>
  <c r="H25" i="3"/>
  <c r="H27" i="2"/>
  <c r="H8" i="2"/>
  <c r="H20" i="2" s="1"/>
  <c r="H16" i="2"/>
  <c r="F47" i="3"/>
  <c r="F50" i="3" s="1"/>
  <c r="G22" i="3"/>
  <c r="G46" i="3"/>
  <c r="I45" i="3"/>
  <c r="I33" i="3"/>
  <c r="I6" i="2"/>
  <c r="I5" i="2"/>
  <c r="J4" i="2"/>
  <c r="I9" i="2"/>
  <c r="I21" i="3"/>
  <c r="I30" i="2"/>
  <c r="I7" i="2"/>
  <c r="I10" i="2"/>
  <c r="G19" i="2"/>
  <c r="F23" i="3"/>
  <c r="F26" i="3" s="1"/>
  <c r="G34" i="3"/>
  <c r="E39" i="3"/>
  <c r="E31" i="2"/>
  <c r="B29" i="8"/>
  <c r="C32" i="13" s="1"/>
  <c r="G21" i="2"/>
  <c r="B18" i="8"/>
  <c r="C21" i="13" s="1"/>
  <c r="D2" i="8"/>
  <c r="E51" i="3"/>
  <c r="H36" i="3"/>
  <c r="H48" i="3"/>
  <c r="H13" i="2"/>
  <c r="H24" i="3"/>
  <c r="H22" i="3"/>
  <c r="H15" i="2"/>
  <c r="H25" i="2" s="1"/>
  <c r="H26" i="2" s="1"/>
  <c r="H14" i="2"/>
  <c r="H21" i="2" s="1"/>
  <c r="C9" i="13"/>
  <c r="A29" i="14"/>
  <c r="D24" i="8"/>
  <c r="D13" i="8"/>
  <c r="B7" i="8"/>
  <c r="F51" i="3" l="1"/>
  <c r="F31" i="2"/>
  <c r="A30" i="14"/>
  <c r="C10" i="13"/>
  <c r="G22" i="2"/>
  <c r="G24" i="2"/>
  <c r="I8" i="2"/>
  <c r="I16" i="2"/>
  <c r="B19" i="8"/>
  <c r="C22" i="13" s="1"/>
  <c r="I49" i="3"/>
  <c r="I37" i="3"/>
  <c r="I25" i="3"/>
  <c r="I27" i="2"/>
  <c r="F27" i="3"/>
  <c r="J6" i="2"/>
  <c r="J21" i="3"/>
  <c r="J45" i="3"/>
  <c r="J33" i="3"/>
  <c r="J9" i="2"/>
  <c r="J30" i="2"/>
  <c r="J5" i="2"/>
  <c r="K4" i="2"/>
  <c r="J10" i="2"/>
  <c r="J7" i="2"/>
  <c r="K16" i="13"/>
  <c r="B25" i="14"/>
  <c r="H23" i="3"/>
  <c r="H26" i="3" s="1"/>
  <c r="D25" i="14"/>
  <c r="K27" i="13"/>
  <c r="I13" i="2"/>
  <c r="I19" i="2" s="1"/>
  <c r="I24" i="3"/>
  <c r="I22" i="3"/>
  <c r="I48" i="3"/>
  <c r="I15" i="2"/>
  <c r="I25" i="2" s="1"/>
  <c r="I26" i="2" s="1"/>
  <c r="I20" i="2"/>
  <c r="I46" i="3"/>
  <c r="I36" i="3"/>
  <c r="I14" i="2"/>
  <c r="I21" i="2" s="1"/>
  <c r="I34" i="3"/>
  <c r="H19" i="2"/>
  <c r="C25" i="14"/>
  <c r="K5" i="13"/>
  <c r="B30" i="8"/>
  <c r="C33" i="13" s="1"/>
  <c r="H34" i="3"/>
  <c r="G47" i="3"/>
  <c r="G50" i="3" s="1"/>
  <c r="H46" i="3"/>
  <c r="G35" i="3"/>
  <c r="G38" i="3" s="1"/>
  <c r="B8" i="8"/>
  <c r="G23" i="3"/>
  <c r="G26" i="3" s="1"/>
  <c r="G51" i="3" l="1"/>
  <c r="H27" i="3"/>
  <c r="G27" i="3"/>
  <c r="H22" i="2"/>
  <c r="H24" i="2"/>
  <c r="G23" i="2"/>
  <c r="G28" i="2" s="1"/>
  <c r="I35" i="3"/>
  <c r="I38" i="3"/>
  <c r="B20" i="8"/>
  <c r="C23" i="13" s="1"/>
  <c r="H35" i="3"/>
  <c r="H38" i="3" s="1"/>
  <c r="I22" i="2"/>
  <c r="I24" i="2"/>
  <c r="J24" i="3"/>
  <c r="J36" i="3"/>
  <c r="J48" i="3"/>
  <c r="J15" i="2"/>
  <c r="J25" i="2" s="1"/>
  <c r="J26" i="2" s="1"/>
  <c r="J14" i="2"/>
  <c r="J13" i="2"/>
  <c r="B31" i="8"/>
  <c r="C34" i="13" s="1"/>
  <c r="J27" i="2"/>
  <c r="J25" i="3"/>
  <c r="J37" i="3"/>
  <c r="J49" i="3"/>
  <c r="B9" i="8"/>
  <c r="C11" i="13"/>
  <c r="A31" i="14"/>
  <c r="I47" i="3"/>
  <c r="I50" i="3" s="1"/>
  <c r="K6" i="2"/>
  <c r="K21" i="3"/>
  <c r="K30" i="2"/>
  <c r="K9" i="2"/>
  <c r="K5" i="2"/>
  <c r="K33" i="3"/>
  <c r="L4" i="2"/>
  <c r="K45" i="3"/>
  <c r="K7" i="2"/>
  <c r="K10" i="2"/>
  <c r="J8" i="2"/>
  <c r="J34" i="3" s="1"/>
  <c r="J16" i="2"/>
  <c r="H47" i="3"/>
  <c r="H50" i="3" s="1"/>
  <c r="I23" i="3"/>
  <c r="I26" i="3"/>
  <c r="G39" i="3"/>
  <c r="J46" i="3" l="1"/>
  <c r="J35" i="3"/>
  <c r="J38" i="3" s="1"/>
  <c r="G31" i="2"/>
  <c r="I51" i="3"/>
  <c r="H39" i="3"/>
  <c r="H51" i="3"/>
  <c r="J47" i="3"/>
  <c r="J50" i="3" s="1"/>
  <c r="J22" i="3"/>
  <c r="J20" i="2"/>
  <c r="I39" i="3"/>
  <c r="K37" i="3"/>
  <c r="K27" i="2"/>
  <c r="K49" i="3"/>
  <c r="K25" i="3"/>
  <c r="A32" i="14"/>
  <c r="C12" i="13"/>
  <c r="B10" i="8"/>
  <c r="J21" i="2"/>
  <c r="B21" i="8"/>
  <c r="C24" i="13" s="1"/>
  <c r="K48" i="3"/>
  <c r="K36" i="3"/>
  <c r="K15" i="2"/>
  <c r="K25" i="2" s="1"/>
  <c r="K26" i="2" s="1"/>
  <c r="K14" i="2"/>
  <c r="K13" i="2"/>
  <c r="K24" i="3"/>
  <c r="J19" i="2"/>
  <c r="I27" i="3"/>
  <c r="B32" i="8"/>
  <c r="C35" i="13" s="1"/>
  <c r="K8" i="2"/>
  <c r="K34" i="3" s="1"/>
  <c r="K16" i="2"/>
  <c r="I23" i="2"/>
  <c r="I28" i="2"/>
  <c r="L21" i="3"/>
  <c r="L30" i="2"/>
  <c r="L9" i="2"/>
  <c r="L5" i="2"/>
  <c r="L34" i="2"/>
  <c r="L45" i="3"/>
  <c r="L33" i="3"/>
  <c r="L6" i="2"/>
  <c r="M4" i="2"/>
  <c r="L7" i="2"/>
  <c r="L10" i="2"/>
  <c r="H23" i="2"/>
  <c r="H28" i="2"/>
  <c r="K46" i="3" l="1"/>
  <c r="K20" i="2"/>
  <c r="K35" i="3"/>
  <c r="K38" i="3" s="1"/>
  <c r="J51" i="3"/>
  <c r="J39" i="3"/>
  <c r="J23" i="3"/>
  <c r="J26" i="3"/>
  <c r="K19" i="2"/>
  <c r="K47" i="3"/>
  <c r="K50" i="3" s="1"/>
  <c r="H31" i="2"/>
  <c r="H35" i="2" s="1"/>
  <c r="H37" i="2" s="1"/>
  <c r="K21" i="2"/>
  <c r="C13" i="13"/>
  <c r="A33" i="14"/>
  <c r="I31" i="2"/>
  <c r="B22" i="8"/>
  <c r="C25" i="13" s="1"/>
  <c r="B33" i="8"/>
  <c r="C36" i="13" s="1"/>
  <c r="L27" i="2"/>
  <c r="L49" i="3"/>
  <c r="L25" i="3"/>
  <c r="L37" i="3"/>
  <c r="L15" i="2"/>
  <c r="L25" i="2" s="1"/>
  <c r="L26" i="2" s="1"/>
  <c r="L48" i="3"/>
  <c r="L24" i="3"/>
  <c r="L14" i="2"/>
  <c r="L13" i="2"/>
  <c r="L36" i="3"/>
  <c r="M33" i="3"/>
  <c r="L40" i="3" s="1"/>
  <c r="M21" i="3"/>
  <c r="M30" i="2"/>
  <c r="M9" i="2"/>
  <c r="M34" i="2"/>
  <c r="M6" i="2"/>
  <c r="M45" i="3"/>
  <c r="M7" i="2"/>
  <c r="M5" i="2"/>
  <c r="M10" i="2"/>
  <c r="D34" i="2"/>
  <c r="D35" i="2" s="1"/>
  <c r="E34" i="2"/>
  <c r="E35" i="2" s="1"/>
  <c r="E37" i="2" s="1"/>
  <c r="F34" i="2"/>
  <c r="F35" i="2" s="1"/>
  <c r="F37" i="2" s="1"/>
  <c r="G34" i="2"/>
  <c r="G35" i="2" s="1"/>
  <c r="G37" i="2" s="1"/>
  <c r="H34" i="2"/>
  <c r="I34" i="2"/>
  <c r="I35" i="2" s="1"/>
  <c r="I37" i="2" s="1"/>
  <c r="J34" i="2"/>
  <c r="K34" i="2"/>
  <c r="L28" i="3"/>
  <c r="B11" i="8"/>
  <c r="K22" i="3"/>
  <c r="L8" i="2"/>
  <c r="L46" i="3" s="1"/>
  <c r="L16" i="2"/>
  <c r="J22" i="2"/>
  <c r="J24" i="2"/>
  <c r="L34" i="3" l="1"/>
  <c r="L22" i="3"/>
  <c r="L20" i="2"/>
  <c r="K51" i="3"/>
  <c r="L47" i="3"/>
  <c r="L50" i="3" s="1"/>
  <c r="K39" i="3"/>
  <c r="J23" i="2"/>
  <c r="J28" i="2" s="1"/>
  <c r="M15" i="2"/>
  <c r="M25" i="2" s="1"/>
  <c r="M26" i="2" s="1"/>
  <c r="M14" i="2"/>
  <c r="M13" i="2"/>
  <c r="M19" i="2" s="1"/>
  <c r="M36" i="3"/>
  <c r="M24" i="3"/>
  <c r="M48" i="3"/>
  <c r="L35" i="3"/>
  <c r="L38" i="3" s="1"/>
  <c r="K23" i="3"/>
  <c r="K26" i="3" s="1"/>
  <c r="A34" i="14"/>
  <c r="C14" i="13"/>
  <c r="B34" i="8"/>
  <c r="C37" i="13" s="1"/>
  <c r="M52" i="3"/>
  <c r="D52" i="3"/>
  <c r="D53" i="3" s="1"/>
  <c r="E52" i="3"/>
  <c r="E53" i="3" s="1"/>
  <c r="C26" i="8" s="1"/>
  <c r="J29" i="13" s="1"/>
  <c r="F52" i="3"/>
  <c r="F53" i="3" s="1"/>
  <c r="C27" i="8" s="1"/>
  <c r="J30" i="13" s="1"/>
  <c r="G52" i="3"/>
  <c r="G53" i="3" s="1"/>
  <c r="C28" i="8" s="1"/>
  <c r="J31" i="13" s="1"/>
  <c r="H52" i="3"/>
  <c r="H53" i="3" s="1"/>
  <c r="C29" i="8" s="1"/>
  <c r="J32" i="13" s="1"/>
  <c r="I52" i="3"/>
  <c r="I53" i="3" s="1"/>
  <c r="C30" i="8" s="1"/>
  <c r="J33" i="13" s="1"/>
  <c r="J52" i="3"/>
  <c r="J53" i="3" s="1"/>
  <c r="C31" i="8" s="1"/>
  <c r="J34" i="13" s="1"/>
  <c r="K52" i="3"/>
  <c r="L23" i="3"/>
  <c r="L26" i="3"/>
  <c r="M8" i="2"/>
  <c r="E9" i="4" s="1"/>
  <c r="M16" i="2"/>
  <c r="L19" i="2"/>
  <c r="K22" i="2"/>
  <c r="K24" i="2"/>
  <c r="L21" i="2"/>
  <c r="J27" i="3"/>
  <c r="D37" i="2"/>
  <c r="D36" i="2"/>
  <c r="E36" i="2" s="1"/>
  <c r="F36" i="2" s="1"/>
  <c r="G36" i="2" s="1"/>
  <c r="H36" i="2" s="1"/>
  <c r="I36" i="2" s="1"/>
  <c r="M49" i="3"/>
  <c r="M25" i="3"/>
  <c r="M37" i="3"/>
  <c r="M27" i="2"/>
  <c r="B12" i="8"/>
  <c r="M28" i="3"/>
  <c r="D28" i="3"/>
  <c r="D29" i="3" s="1"/>
  <c r="E28" i="3"/>
  <c r="E29" i="3" s="1"/>
  <c r="C4" i="8" s="1"/>
  <c r="J7" i="13" s="1"/>
  <c r="F28" i="3"/>
  <c r="F29" i="3" s="1"/>
  <c r="C5" i="8" s="1"/>
  <c r="J8" i="13" s="1"/>
  <c r="G28" i="3"/>
  <c r="G29" i="3" s="1"/>
  <c r="C6" i="8" s="1"/>
  <c r="J9" i="13" s="1"/>
  <c r="H28" i="3"/>
  <c r="H29" i="3" s="1"/>
  <c r="C7" i="8" s="1"/>
  <c r="J10" i="13" s="1"/>
  <c r="I28" i="3"/>
  <c r="I29" i="3" s="1"/>
  <c r="C8" i="8" s="1"/>
  <c r="J11" i="13" s="1"/>
  <c r="J28" i="3"/>
  <c r="K28" i="3"/>
  <c r="L52" i="3"/>
  <c r="B19" i="4"/>
  <c r="G7" i="4"/>
  <c r="G9" i="4"/>
  <c r="C7" i="4"/>
  <c r="C6" i="4"/>
  <c r="C9" i="4"/>
  <c r="G10" i="4"/>
  <c r="F9" i="4"/>
  <c r="D6" i="4"/>
  <c r="F8" i="4"/>
  <c r="G6" i="4"/>
  <c r="F6" i="4"/>
  <c r="M40" i="3"/>
  <c r="B23" i="8"/>
  <c r="C26" i="13" s="1"/>
  <c r="D40" i="3"/>
  <c r="D41" i="3" s="1"/>
  <c r="E40" i="3"/>
  <c r="E41" i="3" s="1"/>
  <c r="C15" i="8" s="1"/>
  <c r="J18" i="13" s="1"/>
  <c r="F40" i="3"/>
  <c r="F41" i="3" s="1"/>
  <c r="C16" i="8" s="1"/>
  <c r="J19" i="13" s="1"/>
  <c r="G40" i="3"/>
  <c r="G41" i="3" s="1"/>
  <c r="C17" i="8" s="1"/>
  <c r="J20" i="13" s="1"/>
  <c r="H40" i="3"/>
  <c r="H41" i="3" s="1"/>
  <c r="C18" i="8" s="1"/>
  <c r="J21" i="13" s="1"/>
  <c r="I40" i="3"/>
  <c r="I41" i="3" s="1"/>
  <c r="C19" i="8" s="1"/>
  <c r="J22" i="13" s="1"/>
  <c r="J40" i="3"/>
  <c r="J41" i="3" s="1"/>
  <c r="C20" i="8" s="1"/>
  <c r="J23" i="13" s="1"/>
  <c r="K40" i="3"/>
  <c r="K41" i="3" s="1"/>
  <c r="C21" i="8" s="1"/>
  <c r="J24" i="13" s="1"/>
  <c r="E10" i="4" l="1"/>
  <c r="E7" i="4"/>
  <c r="D10" i="4"/>
  <c r="B18" i="4"/>
  <c r="B20" i="4" s="1"/>
  <c r="B3" i="10" s="1"/>
  <c r="D9" i="4"/>
  <c r="C51" i="14" s="1"/>
  <c r="C10" i="4"/>
  <c r="D22" i="9" s="1"/>
  <c r="G58" i="13" s="1"/>
  <c r="C8" i="4"/>
  <c r="E6" i="4"/>
  <c r="D4" i="9" s="1"/>
  <c r="G40" i="13" s="1"/>
  <c r="D8" i="4"/>
  <c r="J29" i="3"/>
  <c r="K53" i="3"/>
  <c r="C32" i="8" s="1"/>
  <c r="J35" i="13" s="1"/>
  <c r="F7" i="4"/>
  <c r="F10" i="4"/>
  <c r="E52" i="14" s="1"/>
  <c r="E8" i="4"/>
  <c r="D50" i="14" s="1"/>
  <c r="D51" i="14"/>
  <c r="D19" i="9"/>
  <c r="G55" i="13" s="1"/>
  <c r="J31" i="2"/>
  <c r="J35" i="2" s="1"/>
  <c r="L39" i="3"/>
  <c r="L41" i="3"/>
  <c r="C22" i="8" s="1"/>
  <c r="J25" i="13" s="1"/>
  <c r="C9" i="8"/>
  <c r="J12" i="13" s="1"/>
  <c r="L51" i="3"/>
  <c r="L53" i="3"/>
  <c r="C33" i="8" s="1"/>
  <c r="J36" i="13" s="1"/>
  <c r="D7" i="9"/>
  <c r="G43" i="13" s="1"/>
  <c r="B49" i="14"/>
  <c r="L24" i="2"/>
  <c r="L22" i="2"/>
  <c r="D21" i="9"/>
  <c r="G57" i="13" s="1"/>
  <c r="F51" i="14"/>
  <c r="C15" i="13"/>
  <c r="A35" i="14"/>
  <c r="B48" i="14"/>
  <c r="D2" i="9"/>
  <c r="G38" i="13" s="1"/>
  <c r="C14" i="8"/>
  <c r="J17" i="13" s="1"/>
  <c r="D42" i="3"/>
  <c r="F48" i="14"/>
  <c r="D6" i="9"/>
  <c r="G42" i="13" s="1"/>
  <c r="B15" i="4"/>
  <c r="B16" i="4"/>
  <c r="G8" i="4"/>
  <c r="C3" i="8"/>
  <c r="J6" i="13" s="1"/>
  <c r="D30" i="3"/>
  <c r="M34" i="3"/>
  <c r="D52" i="14"/>
  <c r="D24" i="9"/>
  <c r="G60" i="13" s="1"/>
  <c r="D3" i="9"/>
  <c r="G39" i="13" s="1"/>
  <c r="C48" i="14"/>
  <c r="D15" i="9"/>
  <c r="G51" i="13" s="1"/>
  <c r="E50" i="14"/>
  <c r="F52" i="14"/>
  <c r="D26" i="9"/>
  <c r="G62" i="13" s="1"/>
  <c r="K27" i="3"/>
  <c r="K29" i="3" s="1"/>
  <c r="M20" i="2"/>
  <c r="M24" i="2"/>
  <c r="D9" i="9"/>
  <c r="G45" i="13" s="1"/>
  <c r="D49" i="14"/>
  <c r="D11" i="9"/>
  <c r="G47" i="13" s="1"/>
  <c r="F49" i="14"/>
  <c r="C25" i="8"/>
  <c r="J28" i="13" s="1"/>
  <c r="D54" i="3"/>
  <c r="M21" i="2"/>
  <c r="M22" i="2" s="1"/>
  <c r="B14" i="5"/>
  <c r="D23" i="9"/>
  <c r="G59" i="13" s="1"/>
  <c r="C52" i="14"/>
  <c r="M46" i="3"/>
  <c r="D17" i="9"/>
  <c r="G53" i="13" s="1"/>
  <c r="B51" i="14"/>
  <c r="B50" i="14"/>
  <c r="D12" i="9"/>
  <c r="G48" i="13" s="1"/>
  <c r="E48" i="14"/>
  <c r="D5" i="9"/>
  <c r="G41" i="13" s="1"/>
  <c r="D48" i="14"/>
  <c r="D7" i="4"/>
  <c r="M22" i="3"/>
  <c r="L27" i="3"/>
  <c r="L29" i="3" s="1"/>
  <c r="C11" i="8" s="1"/>
  <c r="J14" i="13" s="1"/>
  <c r="E49" i="14"/>
  <c r="D10" i="9"/>
  <c r="G46" i="13" s="1"/>
  <c r="E51" i="14"/>
  <c r="D20" i="9"/>
  <c r="G56" i="13" s="1"/>
  <c r="D13" i="9"/>
  <c r="G49" i="13" s="1"/>
  <c r="C50" i="14"/>
  <c r="K23" i="2"/>
  <c r="K28" i="2" s="1"/>
  <c r="B52" i="14" l="1"/>
  <c r="D14" i="9"/>
  <c r="G50" i="13" s="1"/>
  <c r="D25" i="9"/>
  <c r="G61" i="13" s="1"/>
  <c r="D18" i="9"/>
  <c r="G54" i="13" s="1"/>
  <c r="K31" i="2"/>
  <c r="K35" i="2" s="1"/>
  <c r="M23" i="2"/>
  <c r="M28" i="2" s="1"/>
  <c r="C10" i="8"/>
  <c r="J13" i="13" s="1"/>
  <c r="J37" i="2"/>
  <c r="J36" i="2"/>
  <c r="M47" i="3"/>
  <c r="M50" i="3"/>
  <c r="M35" i="3"/>
  <c r="M38" i="3"/>
  <c r="L23" i="2"/>
  <c r="L28" i="2" s="1"/>
  <c r="M23" i="3"/>
  <c r="M26" i="3" s="1"/>
  <c r="D3" i="8"/>
  <c r="E30" i="3"/>
  <c r="F50" i="14"/>
  <c r="D16" i="9"/>
  <c r="G52" i="13" s="1"/>
  <c r="D8" i="9"/>
  <c r="G44" i="13" s="1"/>
  <c r="C49" i="14"/>
  <c r="D25" i="8"/>
  <c r="E54" i="3"/>
  <c r="E42" i="3"/>
  <c r="D14" i="8"/>
  <c r="B17" i="4"/>
  <c r="M27" i="3" l="1"/>
  <c r="M29" i="3" s="1"/>
  <c r="M31" i="2"/>
  <c r="M35" i="2"/>
  <c r="M37" i="2" s="1"/>
  <c r="K37" i="2"/>
  <c r="L31" i="2"/>
  <c r="L35" i="2" s="1"/>
  <c r="B2" i="10"/>
  <c r="B13" i="5"/>
  <c r="B26" i="14"/>
  <c r="K17" i="13"/>
  <c r="D4" i="8"/>
  <c r="F30" i="3"/>
  <c r="M51" i="3"/>
  <c r="M53" i="3"/>
  <c r="C26" i="14"/>
  <c r="K6" i="13"/>
  <c r="D15" i="8"/>
  <c r="F42" i="3"/>
  <c r="D26" i="8"/>
  <c r="F54" i="3"/>
  <c r="K36" i="2"/>
  <c r="K28" i="13"/>
  <c r="D26" i="14"/>
  <c r="M39" i="3"/>
  <c r="M41" i="3"/>
  <c r="L37" i="2" l="1"/>
  <c r="C39" i="2" s="1"/>
  <c r="C40" i="2"/>
  <c r="C12" i="8"/>
  <c r="J15" i="13" s="1"/>
  <c r="B6" i="6"/>
  <c r="B14" i="3"/>
  <c r="B13" i="3"/>
  <c r="G54" i="3"/>
  <c r="D27" i="8"/>
  <c r="D5" i="8"/>
  <c r="G30" i="3"/>
  <c r="D27" i="14"/>
  <c r="K29" i="13"/>
  <c r="C27" i="14"/>
  <c r="K7" i="13"/>
  <c r="G42" i="3"/>
  <c r="D16" i="8"/>
  <c r="C23" i="8"/>
  <c r="J26" i="13" s="1"/>
  <c r="C13" i="3"/>
  <c r="C6" i="6"/>
  <c r="C14" i="3"/>
  <c r="K18" i="13"/>
  <c r="B27" i="14"/>
  <c r="C34" i="8"/>
  <c r="J37" i="13" s="1"/>
  <c r="D14" i="3"/>
  <c r="D13" i="3"/>
  <c r="D6" i="6"/>
  <c r="L36" i="2"/>
  <c r="M36" i="2" s="1"/>
  <c r="K30" i="13" l="1"/>
  <c r="D28" i="14"/>
  <c r="D17" i="8"/>
  <c r="H42" i="3"/>
  <c r="D8" i="6"/>
  <c r="H4" i="7"/>
  <c r="H4" i="13" s="1"/>
  <c r="D7" i="5"/>
  <c r="B28" i="14"/>
  <c r="K19" i="13"/>
  <c r="H54" i="3"/>
  <c r="D28" i="8"/>
  <c r="B5" i="6"/>
  <c r="G2" i="7"/>
  <c r="B6" i="5"/>
  <c r="B3" i="5"/>
  <c r="B12" i="4"/>
  <c r="B7" i="5"/>
  <c r="H2" i="7"/>
  <c r="H2" i="13" s="1"/>
  <c r="B8" i="6"/>
  <c r="H3" i="7"/>
  <c r="H3" i="13" s="1"/>
  <c r="C7" i="5"/>
  <c r="C8" i="6"/>
  <c r="B7" i="6"/>
  <c r="B9" i="6" s="1"/>
  <c r="C41" i="2"/>
  <c r="C42" i="2"/>
  <c r="C5" i="6"/>
  <c r="C7" i="6" s="1"/>
  <c r="G3" i="7"/>
  <c r="C6" i="5"/>
  <c r="H30" i="3"/>
  <c r="D6" i="8"/>
  <c r="D5" i="6"/>
  <c r="D7" i="6" s="1"/>
  <c r="D6" i="5"/>
  <c r="G4" i="7"/>
  <c r="C28" i="14"/>
  <c r="K8" i="13"/>
  <c r="B19" i="3"/>
  <c r="C9" i="6" l="1"/>
  <c r="C29" i="14"/>
  <c r="K9" i="13"/>
  <c r="I30" i="3"/>
  <c r="D7" i="8"/>
  <c r="B16" i="5"/>
  <c r="B5" i="14"/>
  <c r="G3" i="13"/>
  <c r="B4" i="14"/>
  <c r="G2" i="13"/>
  <c r="D18" i="8"/>
  <c r="I42" i="3"/>
  <c r="B6" i="14"/>
  <c r="G4" i="13"/>
  <c r="D9" i="6"/>
  <c r="B11" i="6" s="1"/>
  <c r="D29" i="14"/>
  <c r="K31" i="13"/>
  <c r="K20" i="13"/>
  <c r="B29" i="14"/>
  <c r="D29" i="8"/>
  <c r="I54" i="3"/>
  <c r="J54" i="3" l="1"/>
  <c r="D30" i="8"/>
  <c r="C30" i="14"/>
  <c r="K10" i="13"/>
  <c r="K32" i="13"/>
  <c r="D30" i="14"/>
  <c r="D19" i="8"/>
  <c r="J42" i="3"/>
  <c r="D8" i="8"/>
  <c r="J30" i="3"/>
  <c r="B30" i="14"/>
  <c r="K21" i="13"/>
  <c r="D20" i="8" l="1"/>
  <c r="K42" i="3"/>
  <c r="K30" i="3"/>
  <c r="D9" i="8"/>
  <c r="K22" i="13"/>
  <c r="B31" i="14"/>
  <c r="K33" i="13"/>
  <c r="D31" i="14"/>
  <c r="K11" i="13"/>
  <c r="C31" i="14"/>
  <c r="D31" i="8"/>
  <c r="K54" i="3"/>
  <c r="L54" i="3" l="1"/>
  <c r="D32" i="8"/>
  <c r="D10" i="8"/>
  <c r="L30" i="3"/>
  <c r="C32" i="14"/>
  <c r="K12" i="13"/>
  <c r="K34" i="13"/>
  <c r="D32" i="14"/>
  <c r="L42" i="3"/>
  <c r="D21" i="8"/>
  <c r="B32" i="14"/>
  <c r="K23" i="13"/>
  <c r="D11" i="8" l="1"/>
  <c r="M30" i="3"/>
  <c r="C33" i="14"/>
  <c r="K13" i="13"/>
  <c r="K24" i="13"/>
  <c r="B33" i="14"/>
  <c r="D33" i="14"/>
  <c r="K35" i="13"/>
  <c r="D22" i="8"/>
  <c r="M42" i="3"/>
  <c r="D33" i="8"/>
  <c r="M54" i="3"/>
  <c r="D34" i="8" l="1"/>
  <c r="D15" i="3"/>
  <c r="D16" i="3"/>
  <c r="K36" i="13"/>
  <c r="D34" i="14"/>
  <c r="C15" i="3"/>
  <c r="D23" i="8"/>
  <c r="C16" i="3"/>
  <c r="B15" i="3"/>
  <c r="D12" i="8"/>
  <c r="B16" i="3"/>
  <c r="B34" i="14"/>
  <c r="K25" i="13"/>
  <c r="C34" i="14"/>
  <c r="K14" i="13"/>
  <c r="C8" i="5" l="1"/>
  <c r="I3" i="7"/>
  <c r="I3" i="13" s="1"/>
  <c r="J3" i="7"/>
  <c r="C9" i="5"/>
  <c r="K26" i="13"/>
  <c r="B35" i="14"/>
  <c r="J2" i="7"/>
  <c r="B9" i="5"/>
  <c r="J4" i="7"/>
  <c r="D9" i="5"/>
  <c r="C35" i="14"/>
  <c r="K15" i="13"/>
  <c r="I4" i="7"/>
  <c r="I4" i="13" s="1"/>
  <c r="D8" i="5"/>
  <c r="B8" i="5"/>
  <c r="I2" i="7"/>
  <c r="I2" i="13" s="1"/>
  <c r="D35" i="14"/>
  <c r="K37" i="13"/>
</calcChain>
</file>

<file path=xl/sharedStrings.xml><?xml version="1.0" encoding="utf-8"?>
<sst xmlns="http://schemas.openxmlformats.org/spreadsheetml/2006/main" count="523" uniqueCount="246">
  <si>
    <t>Inputs: premium large-format conversion, per converted screen</t>
  </si>
  <si>
    <t>Blue = typed input. Black = formula. Green = link to another sheet. Change blue cells only; every other sheet recalculates from this one.</t>
  </si>
  <si>
    <t>Model sheet scenario: 1 Base, 2 Upside, 3 Downside</t>
  </si>
  <si>
    <t>A. Public figures</t>
  </si>
  <si>
    <t>Item</t>
  </si>
  <si>
    <t>Value</t>
  </si>
  <si>
    <t>Unit</t>
  </si>
  <si>
    <t>Source</t>
  </si>
  <si>
    <t>U.S. markets admissions revenue, 2025</t>
  </si>
  <si>
    <t>$ millions</t>
  </si>
  <si>
    <t>AMC Entertainment Holdings, Form 10-K for fiscal 2025 (filed 2026-02-23), p. 49, Operating Results table (U.S. Markets).</t>
  </si>
  <si>
    <t>U.S. markets attendance, 2025</t>
  </si>
  <si>
    <t>thousands</t>
  </si>
  <si>
    <t>AMC Entertainment Holdings, Form 10-K for fiscal 2025 (filed 2026-02-23), p. 49, Operating Data.</t>
  </si>
  <si>
    <t>U.S. markets average screens, 2025</t>
  </si>
  <si>
    <t>screens</t>
  </si>
  <si>
    <t>U.S. markets operating expense, excluding depreciation and amortization, 2025</t>
  </si>
  <si>
    <t>AMC Entertainment Holdings, Form 10-K for fiscal 2025 (filed 2026-02-23), p. 49, Operating Results table.</t>
  </si>
  <si>
    <t>U.S. film exhibition costs as % of admissions revenue, 2025</t>
  </si>
  <si>
    <t>%</t>
  </si>
  <si>
    <t>AMC Entertainment Holdings, Form 10-K for fiscal 2025 (filed 2026-02-23), p. 55, Theatrical Exhibition - U.S. Markets.</t>
  </si>
  <si>
    <t>U.S. food and beverage costs as % of food and beverage revenue, 2025</t>
  </si>
  <si>
    <t>AMC Entertainment Holdings, Form 10-K for fiscal 2025 (filed 2026-02-23), p. 55.</t>
  </si>
  <si>
    <t>U.S. food and beverage revenue per patron, 2025</t>
  </si>
  <si>
    <t>$</t>
  </si>
  <si>
    <t>U.S. average ticket price change, 2025</t>
  </si>
  <si>
    <t>AMC Entertainment Holdings, Form 10-K for fiscal 2025 (filed 2026-02-23), p. 55. Reference for the price growth assumption.</t>
  </si>
  <si>
    <t>U.S. food and beverage per patron change, 2025</t>
  </si>
  <si>
    <t>AMC Entertainment Holdings, Form 10-K for fiscal 2025 (filed 2026-02-23), p. 55. Reference for the F&amp;B growth assumption.</t>
  </si>
  <si>
    <t>U.S. attendance change, 2025</t>
  </si>
  <si>
    <t>AMC Entertainment Holdings, Form 10-K for fiscal 2025 (filed 2026-02-23), p. 55 (156.9 million to 155.8 million patrons). Reference for the attendance trend.</t>
  </si>
  <si>
    <t>Discount rate AMC applied to U.S. theatre cash flows in impairment testing, Dec 31, 2025</t>
  </si>
  <si>
    <t>AMC Entertainment Holdings, Form 10-K for fiscal 2025 (filed 2026-02-23), p. 46, Critical Accounting Estimates.</t>
  </si>
  <si>
    <t>Federal net operating loss carryforwards</t>
  </si>
  <si>
    <t>AMC Entertainment Holdings, Form 10-K for fiscal 2025 (filed 2026-02-23), p. 121, Note 9 Income Taxes. A valuation allowance is held against U.S. deferred tax assets (p. 119).</t>
  </si>
  <si>
    <t>IMAX technology rentals revenue, 2025</t>
  </si>
  <si>
    <t>$ thousands</t>
  </si>
  <si>
    <t>IMAX Corporation, Form 10-K for fiscal 2025 (filed 2026-02-25), p. 66, Consolidated Statements of Operations. Rentals come mainly from box-office shares under joint revenue sharing arrangements (JRSAs), p. 52.</t>
  </si>
  <si>
    <t>Box office generated by IMAX JRSA locations, 2025</t>
  </si>
  <si>
    <t>IMAX Corporation, Form 10-K for fiscal 2025 (filed 2026-02-25), p. 52, Technology Products and Services.</t>
  </si>
  <si>
    <t>IMAX revenue recognized on new systems installed, 2025</t>
  </si>
  <si>
    <t>IMAX Corporation, Form 10-K for fiscal 2025 (filed 2026-02-25), p. 52 (excludes traditional JRSAs, which are recognized over the lease term).</t>
  </si>
  <si>
    <t>New IMAX systems installed, 2025</t>
  </si>
  <si>
    <t>systems</t>
  </si>
  <si>
    <t>IMAX Corporation, Form 10-K for fiscal 2025 (filed 2026-02-25), p. 52.</t>
  </si>
  <si>
    <t>IMAX share of domestic (U.S. and Canada) box office, 2025</t>
  </si>
  <si>
    <t>IMAX Corporation, Form 10-K for fiscal 2025 (filed 2026-02-25), p. 6.</t>
  </si>
  <si>
    <t>IMAX share of domestic screens</t>
  </si>
  <si>
    <t>IMAX Corporation, Form 10-K for fiscal 2025 (filed 2026-02-25), p. 6 ("approximately 1% of domestic screens").</t>
  </si>
  <si>
    <t>Typical initial non-cancellable JRSA term</t>
  </si>
  <si>
    <t>years</t>
  </si>
  <si>
    <t>IMAX Corporation, Form 10-K for fiscal 2025 (filed 2026-02-25), p. 42. Sets the 10-year model horizon.</t>
  </si>
  <si>
    <t>B. Derived from public figures</t>
  </si>
  <si>
    <t>Formula</t>
  </si>
  <si>
    <t>U.S. average ticket price, 2025</t>
  </si>
  <si>
    <t>Admissions revenue / attendance.</t>
  </si>
  <si>
    <t>U.S. attendance per average screen, 2025</t>
  </si>
  <si>
    <t>patrons</t>
  </si>
  <si>
    <t>Attendance / average screens.</t>
  </si>
  <si>
    <t>U.S. operating expense per average screen, 2025</t>
  </si>
  <si>
    <t>Operating expense / average screens.</t>
  </si>
  <si>
    <t>IMAX rentals as % of JRSA box office, 2025</t>
  </si>
  <si>
    <t>Rentals / JRSA box office. A blended effective rate across traditional and hybrid JRSAs.</t>
  </si>
  <si>
    <t>IMAX revenue per new system installed, 2025</t>
  </si>
  <si>
    <t>Revenue on new systems / systems installed. Mix of sales and hybrid deals.</t>
  </si>
  <si>
    <t>IMAX box office per screen vs. average domestic screen</t>
  </si>
  <si>
    <t>x</t>
  </si>
  <si>
    <t>Box office share / screen share.</t>
  </si>
  <si>
    <t>C. Assumptions (no public figure)</t>
  </si>
  <si>
    <t>Rationale</t>
  </si>
  <si>
    <t>Attendance of the screen chosen for conversion vs. average U.S. screen</t>
  </si>
  <si>
    <t>Chains convert their largest, busiest auditoriums. No public figure.</t>
  </si>
  <si>
    <t>Share of premium tickets sold without the premium surcharge</t>
  </si>
  <si>
    <t>A-List subscribers can book IMAX and Dolby Cinema at no extra cost (AMC 10-K, p. 8). The share is assumed.</t>
  </si>
  <si>
    <t>Premium projection and sound system per screen</t>
  </si>
  <si>
    <t>Proxy: IMAX's average revenue per new system installed in 2025 (section B). Applied in every scenario whatever the deal type; under a traditional JRSA, IMAX carries most of this cost, so the downside (blended JRSA share plus full equipment cost) is conservative.</t>
  </si>
  <si>
    <t>Auditorium construction per screen (screen wall, sound, seating, structure)</t>
  </si>
  <si>
    <t>No per-screen figure in the AMC or IMAX filings. Assumed.</t>
  </si>
  <si>
    <t>Conversion cost estimate per screen</t>
  </si>
  <si>
    <t>Equipment + construction. Scenarios scale this (section D).</t>
  </si>
  <si>
    <t>Weeks the screen is closed for conversion</t>
  </si>
  <si>
    <t>weeks</t>
  </si>
  <si>
    <t>Assumed.</t>
  </si>
  <si>
    <t>Extra operating cost of a premium screen, % of average screen operating expense</t>
  </si>
  <si>
    <t>Annual maintenance fee (IMAX 10-K, p. 10, amount not disclosed), extra power and seat upkeep. Assumed.</t>
  </si>
  <si>
    <t>Ticket price growth per year</t>
  </si>
  <si>
    <t>Below the 4.6% U.S. increase in 2025 (section A), held at a long-run rate. Applies to standard and premium prices.</t>
  </si>
  <si>
    <t>Food and beverage per patron growth per year</t>
  </si>
  <si>
    <t>Close to the 3.3% U.S. increase in 2025 (section A).</t>
  </si>
  <si>
    <t>Operating cost inflation per year</t>
  </si>
  <si>
    <t>Attendance trend per year</t>
  </si>
  <si>
    <t>U.S. attendance fell 0.7% in 2025 (section A); held flat.</t>
  </si>
  <si>
    <t>Cash tax rate on incremental profit</t>
  </si>
  <si>
    <t>AMC's federal NOLs (section A) shelter profit over the 10-year window. Raise to test a taxpaying owner; years with a tax loss are assumed to offset other taxable income.</t>
  </si>
  <si>
    <t>Depreciation life of the conversion</t>
  </si>
  <si>
    <t>Matches the JRSA term (section A).</t>
  </si>
  <si>
    <t>Residual value at the end of year 10, % of conversion cost</t>
  </si>
  <si>
    <t>Equipment returns to IMAX at the end of a JRSA (IMAX 10-K, p. 42). Assumed zero.</t>
  </si>
  <si>
    <t>Discount rate</t>
  </si>
  <si>
    <t>AMC's own rate for U.S. theatre cash flows (section A).</t>
  </si>
  <si>
    <t>D. Scenario levers</t>
  </si>
  <si>
    <t>Base</t>
  </si>
  <si>
    <t>Upside</t>
  </si>
  <si>
    <t>Downside</t>
  </si>
  <si>
    <t>Live (Model)</t>
  </si>
  <si>
    <t>Attendance uplift on the converted screen</t>
  </si>
  <si>
    <t>Assumed. IMAX screens take about five times the box office of an average screen (section B); the Model sheet shows the converted screen's multiple for comparison.</t>
  </si>
  <si>
    <t>Premium surcharge per ticket, year 1</t>
  </si>
  <si>
    <t>Assumed. AMC does not publish prices by format.</t>
  </si>
  <si>
    <t>Share of the extra attendance moved from other screens in the same theatre</t>
  </si>
  <si>
    <t>Assumed. Some premium patrons would have seen the same film on a standard screen.</t>
  </si>
  <si>
    <t>Format partner's share of the converted screen's box office</t>
  </si>
  <si>
    <t>Base: hybrid-style deal; IMAX says the hybrid box-office percentage is typically half the traditional rate (IMAX 10-K, p. 42). Downside: IMAX's blended 2025 JRSA rate (section B). Upside: assumed.</t>
  </si>
  <si>
    <t>Conversion cost vs. estimate</t>
  </si>
  <si>
    <t>Assumed range for savings or overruns on the whole conversion cost (equipment and construction).</t>
  </si>
  <si>
    <t>Conversion cost per screen used</t>
  </si>
  <si>
    <t>Conversion cost estimate (section C) times the scenario multiplier above.</t>
  </si>
  <si>
    <t>E. Sensitivity table settings</t>
  </si>
  <si>
    <t>Note</t>
  </si>
  <si>
    <t>Attendance uplift step between rows</t>
  </si>
  <si>
    <t>Grid is centred on the base case.</t>
  </si>
  <si>
    <t>Premium surcharge step between columns</t>
  </si>
  <si>
    <t>Model: 10-year cash flows per converted screen</t>
  </si>
  <si>
    <t>Rows 5-10 do not depend on the scenario; the Scenarios and Sensitivity sheets reuse them.</t>
  </si>
  <si>
    <t>Year</t>
  </si>
  <si>
    <t>Discount factor</t>
  </si>
  <si>
    <t>Price index</t>
  </si>
  <si>
    <t>Attendance on the screen before conversion</t>
  </si>
  <si>
    <t>Standard ticket price</t>
  </si>
  <si>
    <t>Food and beverage revenue per patron</t>
  </si>
  <si>
    <t>Extra operating cost of the premium screen</t>
  </si>
  <si>
    <t>Scenario drivers</t>
  </si>
  <si>
    <t>Attendance on the converted screen</t>
  </si>
  <si>
    <t>Extra attendance moved from other screens</t>
  </si>
  <si>
    <t>Net new attendance to the theatre</t>
  </si>
  <si>
    <t>Premium ticket price, net of tickets sold without surcharge</t>
  </si>
  <si>
    <t>Incremental revenue and costs</t>
  </si>
  <si>
    <t>Admissions on the converted screen</t>
  </si>
  <si>
    <t>Less: admissions the screen earned as a standard screen</t>
  </si>
  <si>
    <t>Less: admissions lost by other screens</t>
  </si>
  <si>
    <t>Incremental admissions revenue</t>
  </si>
  <si>
    <t>Film exhibition cost on incremental admissions</t>
  </si>
  <si>
    <t>Format partner share of converted screen box office</t>
  </si>
  <si>
    <t>Incremental food and beverage revenue</t>
  </si>
  <si>
    <t>Food and beverage cost</t>
  </si>
  <si>
    <t>Extra operating cost</t>
  </si>
  <si>
    <t>Incremental EBITDA</t>
  </si>
  <si>
    <t>Depreciation (for tax only)</t>
  </si>
  <si>
    <t>Cash tax</t>
  </si>
  <si>
    <t>Conversion cost</t>
  </si>
  <si>
    <t>Contribution lost while the screen is closed</t>
  </si>
  <si>
    <t>Residual value</t>
  </si>
  <si>
    <t>Net cash flow</t>
  </si>
  <si>
    <t>Cumulative cash flow</t>
  </si>
  <si>
    <t>Discounted cash flow</t>
  </si>
  <si>
    <t>Net present value (NPV)</t>
  </si>
  <si>
    <t>Internal rate of return (IRR)</t>
  </si>
  <si>
    <t>Payback period</t>
  </si>
  <si>
    <t>10-year cumulative cash flow</t>
  </si>
  <si>
    <t>Check: converted screen box office vs. AMC average U.S. screen, year 1</t>
  </si>
  <si>
    <t>Scenarios: base, upside and downside</t>
  </si>
  <si>
    <t>Each scenario is calculated in full below, so all three show at once. Drivers that do not change by scenario come from Model rows 5-10.</t>
  </si>
  <si>
    <t>Lever</t>
  </si>
  <si>
    <t>Attendance uplift</t>
  </si>
  <si>
    <t>Premium surcharge, year 1</t>
  </si>
  <si>
    <t>Cannibalization share</t>
  </si>
  <si>
    <t>Format partner share</t>
  </si>
  <si>
    <t>Conversion cost per screen</t>
  </si>
  <si>
    <t>Result</t>
  </si>
  <si>
    <t>Incremental EBITDA, year 1</t>
  </si>
  <si>
    <t>Check: Model sheet NPV equals this sheet for the scenario shown there</t>
  </si>
  <si>
    <t>Base case cash flows</t>
  </si>
  <si>
    <t>Film cost and format partner share</t>
  </si>
  <si>
    <t>Food and beverage contribution</t>
  </si>
  <si>
    <t>Conversion cost, closure and residual value</t>
  </si>
  <si>
    <t>Upside case cash flows</t>
  </si>
  <si>
    <t>Downside case cash flows</t>
  </si>
  <si>
    <t>Sensitivity: NPV per converted screen</t>
  </si>
  <si>
    <t>Rows: attendance uplift. Columns: premium surcharge and the resulting list price in year 1 (standard price + full surcharge; the Model sheet's premium price also nets out tickets sold without the surcharge). Every other input stays at the base case.</t>
  </si>
  <si>
    <t>Premium surcharge</t>
  </si>
  <si>
    <t>Premium list price</t>
  </si>
  <si>
    <t>Check: centre cell = Scenarios base NPV</t>
  </si>
  <si>
    <t>Break-even points (base case, one input moved at a time)</t>
  </si>
  <si>
    <t>NPV with no attendance uplift</t>
  </si>
  <si>
    <t>NPV with 100% attendance uplift</t>
  </si>
  <si>
    <t>Break-even attendance uplift</t>
  </si>
  <si>
    <t>NPV with no premium surcharge</t>
  </si>
  <si>
    <t>NPV with a $1.00 premium surcharge</t>
  </si>
  <si>
    <t>Break-even premium surcharge</t>
  </si>
  <si>
    <t>NPV is a straight line in each of these inputs, so two points give the break-even exactly.</t>
  </si>
  <si>
    <t>Summary: should the chain convert standard screens to premium large format?</t>
  </si>
  <si>
    <t>Recommendation</t>
  </si>
  <si>
    <t>Per converted screen</t>
  </si>
  <si>
    <t>Break-even attendance uplift (base case)</t>
  </si>
  <si>
    <t>Break-even premium surcharge (base case)</t>
  </si>
  <si>
    <t>Model checks</t>
  </si>
  <si>
    <t>What drives the answer</t>
  </si>
  <si>
    <t>1. Attendance uplift and cannibalization decide the result. Only net new patrons add food and beverage profit, and every extra ticket on the converted screen pays film rent and the partner's share.</t>
  </si>
  <si>
    <t>2. The partner's share applies to the whole screen's box office, including tickets the screen sold before conversion, so better deal terms raise NPV directly.</t>
  </si>
  <si>
    <t>3. A-List subscribers book premium formats at no extra cost, so a higher subscriber mix erodes the surcharge.</t>
  </si>
  <si>
    <t>4. Results depend on a slate of films made for premium formats. A weak year cuts both uplift and surcharge.</t>
  </si>
  <si>
    <t>5. Construction overruns and weeks closed hit the investment up front, before any uplift arrives.</t>
  </si>
  <si>
    <t>Checks: recompute the results a second way with Excel's own functions</t>
  </si>
  <si>
    <t>The Scenarios sheet discounts each year with the factors on the Model sheet. Here Excel's NPV function discounts the same cash flows at the Inputs discount rate, and IRR is tested by discounting at the IRR, which should give zero.</t>
  </si>
  <si>
    <t>Check</t>
  </si>
  <si>
    <t>NPV on the Scenarios sheet</t>
  </si>
  <si>
    <t>NPV with Excel's NPV function</t>
  </si>
  <si>
    <t>Difference</t>
  </si>
  <si>
    <t>NPV at the IRR (should be about zero)</t>
  </si>
  <si>
    <t>All checks (this sheet, Scenarios!B19 and Sensitivity!B12)</t>
  </si>
  <si>
    <t>scenario</t>
  </si>
  <si>
    <t>attendance_uplift</t>
  </si>
  <si>
    <t>premium_surcharge</t>
  </si>
  <si>
    <t>cannibalization_share</t>
  </si>
  <si>
    <t>partner_share</t>
  </si>
  <si>
    <t>conversion_cost</t>
  </si>
  <si>
    <t>npv</t>
  </si>
  <si>
    <t>irr</t>
  </si>
  <si>
    <t>payback_years</t>
  </si>
  <si>
    <t>cumulative_cash_flow_10yr</t>
  </si>
  <si>
    <t>ebitda_year1</t>
  </si>
  <si>
    <t>year</t>
  </si>
  <si>
    <t>net_cash_flow</t>
  </si>
  <si>
    <t>cumulative_cash_flow</t>
  </si>
  <si>
    <t>premium_list_price</t>
  </si>
  <si>
    <t>metric</t>
  </si>
  <si>
    <t>value</t>
  </si>
  <si>
    <t>Converted screen box office vs. AMC average U.S. screen, year 1 (base case)</t>
  </si>
  <si>
    <t>item</t>
  </si>
  <si>
    <t>base_or_value</t>
  </si>
  <si>
    <t>upside</t>
  </si>
  <si>
    <t>downside</t>
  </si>
  <si>
    <t>unit</t>
  </si>
  <si>
    <t>source_or_rationale</t>
  </si>
  <si>
    <t>source</t>
  </si>
  <si>
    <t>view</t>
  </si>
  <si>
    <t>Scenario summary</t>
  </si>
  <si>
    <t>Cash flow</t>
  </si>
  <si>
    <t>Sensitivity</t>
  </si>
  <si>
    <t>Charts (the PNGs in outputs/ are pictures of these)</t>
  </si>
  <si>
    <t>Scenario</t>
  </si>
  <si>
    <t>NPV ($M)</t>
  </si>
  <si>
    <t>NPV per converted screen ($K), base case</t>
  </si>
  <si>
    <t>Rows: attendance uplift. Columns: premium surcharge per ticket (list price), year 1.</t>
  </si>
  <si>
    <t>Uplift / surcharge</t>
  </si>
  <si>
    <t>Other inputs at base case. Source: outputs/sensitivity_grid.csv.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</si>
</sst>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quot;-&quot;"/>
    <numFmt numFmtId="165" formatCode="#,##0;\(#,##0\);&quot;-&quot;"/>
    <numFmt numFmtId="166" formatCode="0.0%;\(0.0%\);&quot;-&quot;"/>
    <numFmt numFmtId="167" formatCode="\$#,##0.00;\(\$#,##0.00\);&quot;-&quot;"/>
    <numFmt numFmtId="168" formatCode="\$#,##0;\(\$#,##0\);&quot;-&quot;"/>
    <numFmt numFmtId="169" formatCode="0.0&quot;x&quot;"/>
    <numFmt numFmtId="170" formatCode="0.00&quot;x&quot;"/>
    <numFmt numFmtId="171" formatCode="0.0000"/>
    <numFmt numFmtId="172" formatCode="0.000"/>
    <numFmt numFmtId="173" formatCode="0.0&quot; yrs&quot;"/>
    <numFmt numFmtId="174" formatCode="0.0"/>
    <numFmt numFmtId="175" formatCode="0.######"/>
    <numFmt numFmtId="176" formatCode="&quot;$&quot;0.00&quot;M&quot;;&quot;-$&quot;0.00&quot;M&quot;"/>
    <numFmt numFmtId="177" formatCode="#,##0;\-#,##0"/>
  </numFmts>
  <fonts count="11" x14ac:knownFonts="1">
    <font>
      <sz val="11"/>
      <color theme="1"/>
      <name val="Calibri"/>
      <family val="2"/>
      <scheme val="minor"/>
    </font>
    <font>
      <b/>
      <sz val="14"/>
      <name val="Arial"/>
      <family val="2"/>
    </font>
    <font>
      <i/>
      <sz val="9"/>
      <color rgb="FF555555"/>
      <name val="Arial"/>
      <family val="2"/>
    </font>
    <font>
      <b/>
      <sz val="10"/>
      <name val="Arial"/>
      <family val="2"/>
    </font>
    <font>
      <sz val="10"/>
      <color rgb="FF0000FF"/>
      <name val="Arial"/>
      <family val="2"/>
    </font>
    <font>
      <sz val="10"/>
      <color rgb="FF000000"/>
      <name val="Arial"/>
      <family val="2"/>
    </font>
    <font>
      <sz val="10"/>
      <color rgb="FF008000"/>
      <name val="Arial"/>
      <family val="2"/>
    </font>
    <font>
      <b/>
      <sz val="10"/>
      <color rgb="FF008000"/>
      <name val="Arial"/>
      <family val="2"/>
    </font>
    <font>
      <sz val="10"/>
      <name val="Arial"/>
      <family val="2"/>
    </font>
    <font>
      <b/>
      <sz val="12"/>
      <name val="Arial"/>
      <family val="2"/>
    </font>
    <font>
      <sz val="12"/>
      <name val="Arial"/>
      <family val="2"/>
    </font>
  </fonts>
  <fills count="4">
    <fill>
      <patternFill patternType="none"/>
    </fill>
    <fill>
      <patternFill patternType="gray125"/>
    </fill>
    <fill>
      <patternFill patternType="solid">
        <fgColor rgb="FFFFF2CC"/>
      </patternFill>
    </fill>
    <fill>
      <patternFill patternType="solid">
        <fgColor rgb="FFE8EEF7"/>
      </patternFill>
    </fill>
  </fills>
  <borders count="2">
    <border>
      <left/>
      <right/>
      <top/>
      <bottom/>
      <diagonal/>
    </border>
    <border>
      <left/>
      <right/>
      <top style="thin">
        <color rgb="FF999999"/>
      </top>
      <bottom/>
      <diagonal/>
    </border>
  </borders>
  <cellStyleXfs count="1">
    <xf numFmtId="0" fontId="0" fillId="0" borderId="0"/>
  </cellStyleXfs>
  <cellXfs count="64">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5" fillId="0" borderId="0" xfId="0" applyFont="1"/>
    <xf numFmtId="0" fontId="3" fillId="3" borderId="0" xfId="0" applyFont="1" applyFill="1" applyAlignment="1">
      <alignment vertical="center" wrapText="1"/>
    </xf>
    <xf numFmtId="0" fontId="5" fillId="0" borderId="0" xfId="0" applyFont="1" applyAlignment="1">
      <alignment vertical="top" wrapText="1"/>
    </xf>
    <xf numFmtId="164" fontId="4" fillId="0" borderId="0" xfId="0" applyNumberFormat="1" applyFont="1"/>
    <xf numFmtId="0" fontId="2" fillId="0" borderId="0" xfId="0" applyFont="1" applyAlignment="1">
      <alignment vertical="top" wrapText="1"/>
    </xf>
    <xf numFmtId="165" fontId="4" fillId="0" borderId="0" xfId="0" applyNumberFormat="1" applyFont="1"/>
    <xf numFmtId="166" fontId="4" fillId="0" borderId="0" xfId="0" applyNumberFormat="1" applyFont="1"/>
    <xf numFmtId="167" fontId="4" fillId="0" borderId="0" xfId="0" applyNumberFormat="1" applyFont="1"/>
    <xf numFmtId="167" fontId="5" fillId="0" borderId="0" xfId="0" applyNumberFormat="1" applyFont="1"/>
    <xf numFmtId="165" fontId="5" fillId="0" borderId="0" xfId="0" applyNumberFormat="1" applyFont="1"/>
    <xf numFmtId="168" fontId="5" fillId="0" borderId="0" xfId="0" applyNumberFormat="1" applyFont="1"/>
    <xf numFmtId="166" fontId="5" fillId="0" borderId="0" xfId="0" applyNumberFormat="1" applyFont="1"/>
    <xf numFmtId="169" fontId="5" fillId="0" borderId="0" xfId="0" applyNumberFormat="1" applyFont="1"/>
    <xf numFmtId="170" fontId="4" fillId="0" borderId="0" xfId="0" applyNumberFormat="1" applyFont="1"/>
    <xf numFmtId="168" fontId="4" fillId="0" borderId="0" xfId="0" applyNumberFormat="1" applyFont="1"/>
    <xf numFmtId="166" fontId="5" fillId="2" borderId="0" xfId="0" applyNumberFormat="1" applyFont="1" applyFill="1"/>
    <xf numFmtId="167" fontId="5" fillId="2" borderId="0" xfId="0" applyNumberFormat="1" applyFont="1" applyFill="1"/>
    <xf numFmtId="170" fontId="5" fillId="2" borderId="0" xfId="0" applyNumberFormat="1" applyFont="1" applyFill="1"/>
    <xf numFmtId="0" fontId="3" fillId="3" borderId="0" xfId="0" applyFont="1" applyFill="1"/>
    <xf numFmtId="0" fontId="0" fillId="3" borderId="0" xfId="0" applyFill="1"/>
    <xf numFmtId="171" fontId="5" fillId="0" borderId="0" xfId="0" applyNumberFormat="1" applyFont="1"/>
    <xf numFmtId="172" fontId="5" fillId="0" borderId="0" xfId="0" applyNumberFormat="1" applyFont="1"/>
    <xf numFmtId="168" fontId="3" fillId="0" borderId="0" xfId="0" applyNumberFormat="1" applyFont="1"/>
    <xf numFmtId="0" fontId="3" fillId="0" borderId="1" xfId="0" applyFont="1" applyBorder="1"/>
    <xf numFmtId="0" fontId="2" fillId="0" borderId="1" xfId="0" applyFont="1" applyBorder="1"/>
    <xf numFmtId="168" fontId="3" fillId="0" borderId="1" xfId="0" applyNumberFormat="1" applyFont="1" applyBorder="1"/>
    <xf numFmtId="168" fontId="3" fillId="2" borderId="0" xfId="0" applyNumberFormat="1" applyFont="1" applyFill="1"/>
    <xf numFmtId="166" fontId="3" fillId="2" borderId="0" xfId="0" applyNumberFormat="1" applyFont="1" applyFill="1"/>
    <xf numFmtId="173" fontId="3" fillId="2" borderId="0" xfId="0" applyNumberFormat="1" applyFont="1" applyFill="1"/>
    <xf numFmtId="166" fontId="6" fillId="0" borderId="0" xfId="0" applyNumberFormat="1" applyFont="1"/>
    <xf numFmtId="167" fontId="6" fillId="0" borderId="0" xfId="0" applyNumberFormat="1" applyFont="1"/>
    <xf numFmtId="170" fontId="6" fillId="0" borderId="0" xfId="0" applyNumberFormat="1" applyFont="1"/>
    <xf numFmtId="168" fontId="6" fillId="0" borderId="0" xfId="0" applyNumberFormat="1" applyFont="1"/>
    <xf numFmtId="166" fontId="3" fillId="0" borderId="0" xfId="0" applyNumberFormat="1" applyFont="1"/>
    <xf numFmtId="173" fontId="3" fillId="0" borderId="0" xfId="0" applyNumberFormat="1" applyFont="1"/>
    <xf numFmtId="0" fontId="7" fillId="3" borderId="0" xfId="0" applyFont="1" applyFill="1"/>
    <xf numFmtId="167" fontId="3" fillId="3" borderId="0" xfId="0" applyNumberFormat="1" applyFont="1" applyFill="1"/>
    <xf numFmtId="166" fontId="3" fillId="3" borderId="0" xfId="0" applyNumberFormat="1" applyFont="1" applyFill="1"/>
    <xf numFmtId="167" fontId="3" fillId="2" borderId="0" xfId="0" applyNumberFormat="1" applyFont="1" applyFill="1"/>
    <xf numFmtId="0" fontId="3" fillId="3" borderId="0" xfId="0" applyFont="1" applyFill="1" applyAlignment="1">
      <alignment horizontal="right"/>
    </xf>
    <xf numFmtId="168" fontId="6" fillId="0" borderId="0" xfId="0" applyNumberFormat="1" applyFont="1" applyAlignment="1">
      <alignment horizontal="right"/>
    </xf>
    <xf numFmtId="166" fontId="6" fillId="0" borderId="0" xfId="0" applyNumberFormat="1" applyFont="1" applyAlignment="1">
      <alignment horizontal="right"/>
    </xf>
    <xf numFmtId="173" fontId="6" fillId="0" borderId="0" xfId="0" applyNumberFormat="1" applyFont="1" applyAlignment="1">
      <alignment horizontal="right"/>
    </xf>
    <xf numFmtId="0" fontId="0" fillId="0" borderId="0" xfId="0" applyAlignment="1">
      <alignment horizontal="right"/>
    </xf>
    <xf numFmtId="167" fontId="6" fillId="0" borderId="0" xfId="0" applyNumberFormat="1" applyFont="1" applyAlignment="1">
      <alignment horizontal="right"/>
    </xf>
    <xf numFmtId="0" fontId="3" fillId="0" borderId="0" xfId="0" applyFont="1" applyAlignment="1">
      <alignment horizontal="right"/>
    </xf>
    <xf numFmtId="0" fontId="8" fillId="0" borderId="0" xfId="0" applyFont="1"/>
    <xf numFmtId="168" fontId="8" fillId="0" borderId="0" xfId="0" applyNumberFormat="1" applyFont="1" applyAlignment="1">
      <alignment horizontal="right"/>
    </xf>
    <xf numFmtId="1" fontId="8" fillId="0" borderId="0" xfId="0" applyNumberFormat="1" applyFont="1"/>
    <xf numFmtId="174" fontId="8" fillId="0" borderId="0" xfId="0" applyNumberFormat="1" applyFont="1"/>
    <xf numFmtId="175" fontId="8" fillId="0" borderId="0" xfId="0" applyNumberFormat="1" applyFont="1"/>
    <xf numFmtId="176" fontId="8" fillId="0" borderId="0" xfId="0" applyNumberFormat="1" applyFont="1"/>
    <xf numFmtId="2" fontId="8" fillId="0" borderId="0" xfId="0" applyNumberFormat="1" applyFont="1"/>
    <xf numFmtId="0" fontId="9" fillId="0" borderId="0" xfId="0" applyFont="1"/>
    <xf numFmtId="0" fontId="9" fillId="3" borderId="0" xfId="0" applyFont="1" applyFill="1" applyAlignment="1">
      <alignment horizontal="center"/>
    </xf>
    <xf numFmtId="9" fontId="9" fillId="3" borderId="0" xfId="0" applyNumberFormat="1" applyFont="1" applyFill="1"/>
    <xf numFmtId="177" fontId="10" fillId="0" borderId="0" xfId="0" applyNumberFormat="1" applyFont="1" applyAlignment="1">
      <alignment horizontal="center"/>
    </xf>
    <xf numFmtId="0" fontId="5"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sz="1200" b="1">
                <a:latin typeface="Arial"/>
              </a:defRPr>
            </a:pPr>
            <a:r>
              <a:rPr sz="1200" b="1">
                <a:solidFill>
                  <a:srgbClr val="0B0B0B"/>
                </a:solidFill>
                <a:latin typeface="Arial"/>
              </a:rPr>
              <a:t>NPV per converted screen by scenario</a:t>
            </a:r>
          </a:p>
          <a:p>
            <a:pPr>
              <a:defRPr sz="1200" b="1">
                <a:latin typeface="Arial"/>
              </a:defRPr>
            </a:pPr>
            <a:r>
              <a:rPr sz="800" b="0">
                <a:solidFill>
                  <a:srgbClr val="52514E"/>
                </a:solidFill>
                <a:latin typeface="Arial"/>
              </a:rPr>
              <a:t>10-year cash flows discounted at 9.5%. Source: outputs/scenario_results.csv.</a:t>
            </a:r>
          </a:p>
        </c:rich>
      </c:tx>
      <c:overlay val="0"/>
    </c:title>
    <c:autoTitleDeleted val="0"/>
    <c:plotArea>
      <c:layout/>
      <c:barChart>
        <c:barDir val="col"/>
        <c:grouping val="clustered"/>
        <c:varyColors val="0"/>
        <c:ser>
          <c:idx val="0"/>
          <c:order val="0"/>
          <c:spPr>
            <a:solidFill>
              <a:srgbClr val="E34948"/>
            </a:solidFill>
            <a:ln>
              <a:noFill/>
              <a:prstDash val="solid"/>
            </a:ln>
          </c:spPr>
          <c:invertIfNegative val="0"/>
          <c:dPt>
            <c:idx val="1"/>
            <c:invertIfNegative val="1"/>
            <c:bubble3D val="0"/>
            <c:spPr>
              <a:solidFill>
                <a:srgbClr val="2A78D6"/>
              </a:solidFill>
              <a:ln>
                <a:noFill/>
                <a:prstDash val="solid"/>
              </a:ln>
            </c:spPr>
            <c:extLst>
              <c:ext xmlns:c16="http://schemas.microsoft.com/office/drawing/2014/chart" uri="{C3380CC4-5D6E-409C-BE32-E72D297353CC}">
                <c16:uniqueId val="{00000001-3B8E-154A-AE03-B1EC43B50DC5}"/>
              </c:ext>
            </c:extLst>
          </c:dPt>
          <c:dLbls>
            <c:spPr>
              <a:noFill/>
              <a:ln>
                <a:noFill/>
              </a:ln>
              <a:effectLst/>
            </c:spPr>
            <c:txPr>
              <a:bodyPr/>
              <a:lstStyle/>
              <a:p>
                <a:pPr>
                  <a:defRPr sz="900">
                    <a:solidFill>
                      <a:srgbClr val="0B0B0B"/>
                    </a:solidFill>
                    <a:latin typeface="Arial"/>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Charts!$A$4:$A$6</c:f>
              <c:strCache>
                <c:ptCount val="3"/>
                <c:pt idx="0">
                  <c:v>Base</c:v>
                </c:pt>
                <c:pt idx="1">
                  <c:v>Upside</c:v>
                </c:pt>
                <c:pt idx="2">
                  <c:v>Downside</c:v>
                </c:pt>
              </c:strCache>
            </c:strRef>
          </c:cat>
          <c:val>
            <c:numRef>
              <c:f>Charts!$B$4:$B$6</c:f>
              <c:numCache>
                <c:formatCode>"$"0.00"M";"-$"0.00"M"</c:formatCode>
                <c:ptCount val="3"/>
                <c:pt idx="0">
                  <c:v>-0.21390500000000001</c:v>
                </c:pt>
                <c:pt idx="1">
                  <c:v>1.647821</c:v>
                </c:pt>
                <c:pt idx="2">
                  <c:v>-1.7941510000000001</c:v>
                </c:pt>
              </c:numCache>
            </c:numRef>
          </c:val>
          <c:extLst>
            <c:ext xmlns:c16="http://schemas.microsoft.com/office/drawing/2014/chart" uri="{C3380CC4-5D6E-409C-BE32-E72D297353CC}">
              <c16:uniqueId val="{00000002-3B8E-154A-AE03-B1EC43B50DC5}"/>
            </c:ext>
          </c:extLst>
        </c:ser>
        <c:dLbls>
          <c:showLegendKey val="0"/>
          <c:showVal val="0"/>
          <c:showCatName val="0"/>
          <c:showSerName val="0"/>
          <c:showPercent val="0"/>
          <c:showBubbleSize val="0"/>
        </c:dLbls>
        <c:gapWidth val="80"/>
        <c:axId val="10"/>
        <c:axId val="100"/>
      </c:barChart>
      <c:catAx>
        <c:axId val="10"/>
        <c:scaling>
          <c:orientation val="minMax"/>
        </c:scaling>
        <c:delete val="0"/>
        <c:axPos val="b"/>
        <c:numFmt formatCode="General" sourceLinked="1"/>
        <c:majorTickMark val="none"/>
        <c:minorTickMark val="none"/>
        <c:tickLblPos val="low"/>
        <c:spPr>
          <a:ln>
            <a:solidFill>
              <a:srgbClr val="E4E3DF"/>
            </a:solidFill>
            <a:prstDash val="solid"/>
          </a:ln>
        </c:spPr>
        <c:txPr>
          <a:bodyPr/>
          <a:lstStyle/>
          <a:p>
            <a:pPr>
              <a:defRPr sz="900">
                <a:solidFill>
                  <a:srgbClr val="52514E"/>
                </a:solidFill>
                <a:latin typeface="Arial"/>
              </a:defRPr>
            </a:pPr>
            <a:endParaRPr lang="en-US"/>
          </a:p>
        </c:txPr>
        <c:crossAx val="100"/>
        <c:crosses val="autoZero"/>
        <c:auto val="1"/>
        <c:lblAlgn val="ctr"/>
        <c:lblOffset val="100"/>
        <c:noMultiLvlLbl val="1"/>
      </c:catAx>
      <c:valAx>
        <c:axId val="100"/>
        <c:scaling>
          <c:orientation val="minMax"/>
        </c:scaling>
        <c:delete val="0"/>
        <c:axPos val="l"/>
        <c:majorGridlines>
          <c:spPr>
            <a:ln>
              <a:solidFill>
                <a:srgbClr val="E4E3DF"/>
              </a:solidFill>
              <a:prstDash val="solid"/>
            </a:ln>
          </c:spPr>
        </c:majorGridlines>
        <c:title>
          <c:tx>
            <c:rich>
              <a:bodyPr/>
              <a:lstStyle/>
              <a:p>
                <a:pPr>
                  <a:defRPr sz="900" b="0">
                    <a:latin typeface="Arial"/>
                  </a:defRPr>
                </a:pPr>
                <a:r>
                  <a:rPr sz="900" b="0">
                    <a:solidFill>
                      <a:srgbClr val="52514E"/>
                    </a:solidFill>
                    <a:latin typeface="Arial"/>
                  </a:rPr>
                  <a:t>NPV per converted screen ($M)</a:t>
                </a:r>
              </a:p>
            </c:rich>
          </c:tx>
          <c:overlay val="0"/>
        </c:title>
        <c:numFmt formatCode="&quot;$&quot;0.0&quot;M&quot;" sourceLinked="0"/>
        <c:majorTickMark val="none"/>
        <c:minorTickMark val="none"/>
        <c:tickLblPos val="nextTo"/>
        <c:spPr>
          <a:ln>
            <a:noFill/>
            <a:prstDash val="solid"/>
          </a:ln>
        </c:spPr>
        <c:txPr>
          <a:bodyPr/>
          <a:lstStyle/>
          <a:p>
            <a:pPr>
              <a:defRPr sz="900">
                <a:solidFill>
                  <a:srgbClr val="52514E"/>
                </a:solidFill>
                <a:latin typeface="Arial"/>
              </a:defRPr>
            </a:pPr>
            <a:endParaRPr lang="en-US"/>
          </a:p>
        </c:txPr>
        <c:crossAx val="10"/>
        <c:crosses val="autoZero"/>
        <c:crossBetween val="between"/>
      </c:valAx>
    </c:plotArea>
    <c:plotVisOnly val="1"/>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sz="1200" b="1">
                <a:latin typeface="Arial"/>
              </a:defRPr>
            </a:pPr>
            <a:r>
              <a:rPr sz="1200" b="1">
                <a:solidFill>
                  <a:srgbClr val="0B0B0B"/>
                </a:solidFill>
                <a:latin typeface="Arial"/>
              </a:rPr>
              <a:t>Cumulative cash flow per converted screen</a:t>
            </a:r>
          </a:p>
          <a:p>
            <a:pPr>
              <a:defRPr sz="1200" b="1">
                <a:latin typeface="Arial"/>
              </a:defRPr>
            </a:pPr>
            <a:r>
              <a:rPr sz="800" b="0">
                <a:solidFill>
                  <a:srgbClr val="52514E"/>
                </a:solidFill>
                <a:latin typeface="Arial"/>
              </a:rPr>
              <a:t>Undiscounted. Source: outputs/scenario_cash_flows.csv.</a:t>
            </a:r>
          </a:p>
        </c:rich>
      </c:tx>
      <c:overlay val="0"/>
    </c:title>
    <c:autoTitleDeleted val="0"/>
    <c:plotArea>
      <c:layout/>
      <c:lineChart>
        <c:grouping val="standard"/>
        <c:varyColors val="1"/>
        <c:ser>
          <c:idx val="0"/>
          <c:order val="0"/>
          <c:tx>
            <c:strRef>
              <c:f>Charts!$B$24</c:f>
              <c:strCache>
                <c:ptCount val="1"/>
                <c:pt idx="0">
                  <c:v>Upside</c:v>
                </c:pt>
              </c:strCache>
            </c:strRef>
          </c:tx>
          <c:spPr>
            <a:ln w="25400">
              <a:solidFill>
                <a:srgbClr val="2A78D6"/>
              </a:solidFill>
              <a:prstDash val="solid"/>
            </a:ln>
          </c:spPr>
          <c:marker>
            <c:symbol val="circle"/>
            <c:size val="5"/>
            <c:spPr>
              <a:solidFill>
                <a:srgbClr val="2A78D6"/>
              </a:solidFill>
              <a:ln>
                <a:solidFill>
                  <a:srgbClr val="2A78D6"/>
                </a:solidFill>
                <a:prstDash val="solid"/>
              </a:ln>
            </c:spPr>
          </c:marker>
          <c:cat>
            <c:numRef>
              <c:f>Charts!$A$25:$A$35</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Charts!$B$25:$B$35</c:f>
              <c:numCache>
                <c:formatCode>0.00</c:formatCode>
                <c:ptCount val="11"/>
                <c:pt idx="0">
                  <c:v>-1.3084229999999999</c:v>
                </c:pt>
                <c:pt idx="1">
                  <c:v>-0.88860300000000003</c:v>
                </c:pt>
                <c:pt idx="2">
                  <c:v>-0.45618900000000001</c:v>
                </c:pt>
                <c:pt idx="3">
                  <c:v>-1.0803E-2</c:v>
                </c:pt>
                <c:pt idx="4">
                  <c:v>0.44794499999999998</c:v>
                </c:pt>
                <c:pt idx="5">
                  <c:v>0.92045600000000005</c:v>
                </c:pt>
                <c:pt idx="6">
                  <c:v>1.4071419999999999</c:v>
                </c:pt>
                <c:pt idx="7">
                  <c:v>1.908428</c:v>
                </c:pt>
                <c:pt idx="8">
                  <c:v>2.4247540000000001</c:v>
                </c:pt>
                <c:pt idx="9">
                  <c:v>2.9565679999999999</c:v>
                </c:pt>
                <c:pt idx="10">
                  <c:v>3.5043380000000002</c:v>
                </c:pt>
              </c:numCache>
            </c:numRef>
          </c:val>
          <c:smooth val="0"/>
          <c:extLst>
            <c:ext xmlns:c16="http://schemas.microsoft.com/office/drawing/2014/chart" uri="{C3380CC4-5D6E-409C-BE32-E72D297353CC}">
              <c16:uniqueId val="{00000000-497A-8D44-A36D-604E9720EF5D}"/>
            </c:ext>
          </c:extLst>
        </c:ser>
        <c:ser>
          <c:idx val="1"/>
          <c:order val="1"/>
          <c:tx>
            <c:strRef>
              <c:f>Charts!$C$24</c:f>
              <c:strCache>
                <c:ptCount val="1"/>
                <c:pt idx="0">
                  <c:v>Base</c:v>
                </c:pt>
              </c:strCache>
            </c:strRef>
          </c:tx>
          <c:spPr>
            <a:ln w="25400">
              <a:solidFill>
                <a:srgbClr val="EB6834"/>
              </a:solidFill>
              <a:prstDash val="solid"/>
            </a:ln>
          </c:spPr>
          <c:marker>
            <c:symbol val="circle"/>
            <c:size val="5"/>
            <c:spPr>
              <a:solidFill>
                <a:srgbClr val="EB6834"/>
              </a:solidFill>
              <a:ln>
                <a:solidFill>
                  <a:srgbClr val="EB6834"/>
                </a:solidFill>
                <a:prstDash val="solid"/>
              </a:ln>
            </c:spPr>
          </c:marker>
          <c:val>
            <c:numRef>
              <c:f>Charts!$C$25:$C$35</c:f>
              <c:numCache>
                <c:formatCode>0.00</c:formatCode>
                <c:ptCount val="11"/>
                <c:pt idx="0">
                  <c:v>-1.447549</c:v>
                </c:pt>
                <c:pt idx="1">
                  <c:v>-1.2723580000000001</c:v>
                </c:pt>
                <c:pt idx="2">
                  <c:v>-1.0919110000000001</c:v>
                </c:pt>
                <c:pt idx="3">
                  <c:v>-0.90605000000000002</c:v>
                </c:pt>
                <c:pt idx="4">
                  <c:v>-0.71461399999999997</c:v>
                </c:pt>
                <c:pt idx="5">
                  <c:v>-0.51743499999999998</c:v>
                </c:pt>
                <c:pt idx="6">
                  <c:v>-0.31434000000000001</c:v>
                </c:pt>
                <c:pt idx="7">
                  <c:v>-0.105153</c:v>
                </c:pt>
                <c:pt idx="8">
                  <c:v>0.11031000000000001</c:v>
                </c:pt>
                <c:pt idx="9">
                  <c:v>0.332237</c:v>
                </c:pt>
                <c:pt idx="10">
                  <c:v>0.56082200000000004</c:v>
                </c:pt>
              </c:numCache>
            </c:numRef>
          </c:val>
          <c:smooth val="0"/>
          <c:extLst>
            <c:ext xmlns:c16="http://schemas.microsoft.com/office/drawing/2014/chart" uri="{C3380CC4-5D6E-409C-BE32-E72D297353CC}">
              <c16:uniqueId val="{00000001-497A-8D44-A36D-604E9720EF5D}"/>
            </c:ext>
          </c:extLst>
        </c:ser>
        <c:ser>
          <c:idx val="2"/>
          <c:order val="2"/>
          <c:tx>
            <c:strRef>
              <c:f>Charts!$D$24</c:f>
              <c:strCache>
                <c:ptCount val="1"/>
                <c:pt idx="0">
                  <c:v>Downside</c:v>
                </c:pt>
              </c:strCache>
            </c:strRef>
          </c:tx>
          <c:spPr>
            <a:ln w="25400">
              <a:solidFill>
                <a:srgbClr val="8C8B87"/>
              </a:solidFill>
              <a:prstDash val="solid"/>
            </a:ln>
          </c:spPr>
          <c:marker>
            <c:symbol val="circle"/>
            <c:size val="5"/>
            <c:spPr>
              <a:solidFill>
                <a:srgbClr val="8C8B87"/>
              </a:solidFill>
              <a:ln>
                <a:solidFill>
                  <a:srgbClr val="8C8B87"/>
                </a:solidFill>
                <a:prstDash val="solid"/>
              </a:ln>
            </c:spPr>
          </c:marker>
          <c:val>
            <c:numRef>
              <c:f>Charts!$D$25:$D$35</c:f>
              <c:numCache>
                <c:formatCode>0.00</c:formatCode>
                <c:ptCount val="11"/>
                <c:pt idx="0">
                  <c:v>-1.795363</c:v>
                </c:pt>
                <c:pt idx="1">
                  <c:v>-1.795191</c:v>
                </c:pt>
                <c:pt idx="2">
                  <c:v>-1.7950140000000001</c:v>
                </c:pt>
                <c:pt idx="3">
                  <c:v>-1.7948310000000001</c:v>
                </c:pt>
                <c:pt idx="4">
                  <c:v>-1.794643</c:v>
                </c:pt>
                <c:pt idx="5">
                  <c:v>-1.794449</c:v>
                </c:pt>
                <c:pt idx="6">
                  <c:v>-1.7942499999999999</c:v>
                </c:pt>
                <c:pt idx="7">
                  <c:v>-1.7940449999999999</c:v>
                </c:pt>
                <c:pt idx="8">
                  <c:v>-1.793833</c:v>
                </c:pt>
                <c:pt idx="9">
                  <c:v>-1.793615</c:v>
                </c:pt>
                <c:pt idx="10">
                  <c:v>-1.79339</c:v>
                </c:pt>
              </c:numCache>
            </c:numRef>
          </c:val>
          <c:smooth val="0"/>
          <c:extLst>
            <c:ext xmlns:c16="http://schemas.microsoft.com/office/drawing/2014/chart" uri="{C3380CC4-5D6E-409C-BE32-E72D297353CC}">
              <c16:uniqueId val="{00000002-497A-8D44-A36D-604E9720EF5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title>
          <c:tx>
            <c:rich>
              <a:bodyPr/>
              <a:lstStyle/>
              <a:p>
                <a:pPr>
                  <a:defRPr sz="900" b="0">
                    <a:latin typeface="Arial"/>
                  </a:defRPr>
                </a:pPr>
                <a:r>
                  <a:rPr sz="900" b="0">
                    <a:solidFill>
                      <a:srgbClr val="52514E"/>
                    </a:solidFill>
                    <a:latin typeface="Arial"/>
                  </a:rPr>
                  <a:t>Year</a:t>
                </a:r>
              </a:p>
            </c:rich>
          </c:tx>
          <c:overlay val="0"/>
        </c:title>
        <c:numFmt formatCode="General" sourceLinked="1"/>
        <c:majorTickMark val="none"/>
        <c:minorTickMark val="none"/>
        <c:tickLblPos val="low"/>
        <c:spPr>
          <a:ln>
            <a:solidFill>
              <a:srgbClr val="E4E3DF"/>
            </a:solidFill>
            <a:prstDash val="solid"/>
          </a:ln>
        </c:spPr>
        <c:txPr>
          <a:bodyPr/>
          <a:lstStyle/>
          <a:p>
            <a:pPr>
              <a:defRPr sz="900">
                <a:solidFill>
                  <a:srgbClr val="52514E"/>
                </a:solidFill>
                <a:latin typeface="Arial"/>
              </a:defRPr>
            </a:pPr>
            <a:endParaRPr lang="en-US"/>
          </a:p>
        </c:txPr>
        <c:crossAx val="100"/>
        <c:crosses val="autoZero"/>
        <c:auto val="1"/>
        <c:lblAlgn val="ctr"/>
        <c:lblOffset val="100"/>
        <c:noMultiLvlLbl val="1"/>
      </c:catAx>
      <c:valAx>
        <c:axId val="100"/>
        <c:scaling>
          <c:orientation val="minMax"/>
        </c:scaling>
        <c:delete val="0"/>
        <c:axPos val="l"/>
        <c:majorGridlines>
          <c:spPr>
            <a:ln>
              <a:solidFill>
                <a:srgbClr val="E4E3DF"/>
              </a:solidFill>
              <a:prstDash val="solid"/>
            </a:ln>
          </c:spPr>
        </c:majorGridlines>
        <c:title>
          <c:tx>
            <c:rich>
              <a:bodyPr/>
              <a:lstStyle/>
              <a:p>
                <a:pPr>
                  <a:defRPr sz="900" b="0">
                    <a:latin typeface="Arial"/>
                  </a:defRPr>
                </a:pPr>
                <a:r>
                  <a:rPr sz="900" b="0">
                    <a:solidFill>
                      <a:srgbClr val="52514E"/>
                    </a:solidFill>
                    <a:latin typeface="Arial"/>
                  </a:rPr>
                  <a:t>Cumulative cash flow ($M)</a:t>
                </a:r>
              </a:p>
            </c:rich>
          </c:tx>
          <c:overlay val="0"/>
        </c:title>
        <c:numFmt formatCode="&quot;$&quot;0.0&quot;M&quot;" sourceLinked="0"/>
        <c:majorTickMark val="none"/>
        <c:minorTickMark val="none"/>
        <c:tickLblPos val="nextTo"/>
        <c:spPr>
          <a:ln>
            <a:noFill/>
            <a:prstDash val="solid"/>
          </a:ln>
        </c:spPr>
        <c:txPr>
          <a:bodyPr/>
          <a:lstStyle/>
          <a:p>
            <a:pPr>
              <a:defRPr sz="900">
                <a:solidFill>
                  <a:srgbClr val="52514E"/>
                </a:solidFill>
                <a:latin typeface="Arial"/>
              </a:defRPr>
            </a:pPr>
            <a:endParaRPr lang="en-US"/>
          </a:p>
        </c:txPr>
        <c:crossAx val="10"/>
        <c:crosses val="autoZero"/>
        <c:crossBetween val="between"/>
      </c:valAx>
    </c:plotArea>
    <c:legend>
      <c:legendPos val="t"/>
      <c:overlay val="0"/>
      <c:txPr>
        <a:bodyPr/>
        <a:lstStyle/>
        <a:p>
          <a:pPr>
            <a:defRPr sz="900">
              <a:solidFill>
                <a:srgbClr val="0B0B0B"/>
              </a:solidFill>
              <a:latin typeface="Arial"/>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0</xdr:rowOff>
    </xdr:from>
    <xdr:to>
      <xdr:col>12</xdr:col>
      <xdr:colOff>0</xdr:colOff>
      <xdr:row>21</xdr:row>
      <xdr:rowOff>0</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23</xdr:row>
      <xdr:rowOff>0</xdr:rowOff>
    </xdr:from>
    <xdr:to>
      <xdr:col>15</xdr:col>
      <xdr:colOff>0</xdr:colOff>
      <xdr:row>42</xdr:row>
      <xdr:rowOff>0</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66"/>
  <sheetViews>
    <sheetView showGridLines="0" tabSelected="1"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58" customWidth="1"/>
    <col min="2" max="5" width="13" customWidth="1"/>
    <col min="6" max="6" width="12" customWidth="1"/>
    <col min="7" max="7" width="95" customWidth="1"/>
  </cols>
  <sheetData>
    <row r="1" spans="1:7" ht="18" x14ac:dyDescent="0.2">
      <c r="A1" s="1" t="s">
        <v>0</v>
      </c>
    </row>
    <row r="2" spans="1:7" x14ac:dyDescent="0.2">
      <c r="A2" s="2" t="s">
        <v>1</v>
      </c>
    </row>
    <row r="3" spans="1:7" x14ac:dyDescent="0.2">
      <c r="A3" s="3" t="s">
        <v>2</v>
      </c>
      <c r="B3" s="4">
        <v>1</v>
      </c>
      <c r="C3" s="5" t="str">
        <f>CHOOSE(B3,"Base","Upside","Downside")</f>
        <v>Base</v>
      </c>
    </row>
    <row r="5" spans="1:7" x14ac:dyDescent="0.2">
      <c r="A5" s="3" t="s">
        <v>3</v>
      </c>
    </row>
    <row r="6" spans="1:7" x14ac:dyDescent="0.2">
      <c r="A6" s="6" t="s">
        <v>4</v>
      </c>
      <c r="B6" s="6" t="s">
        <v>5</v>
      </c>
      <c r="C6" s="6"/>
      <c r="D6" s="6"/>
      <c r="E6" s="6"/>
      <c r="F6" s="6" t="s">
        <v>6</v>
      </c>
      <c r="G6" s="6" t="s">
        <v>7</v>
      </c>
    </row>
    <row r="7" spans="1:7" x14ac:dyDescent="0.2">
      <c r="A7" s="7" t="s">
        <v>8</v>
      </c>
      <c r="B7" s="8">
        <v>1992</v>
      </c>
      <c r="F7" s="5" t="s">
        <v>9</v>
      </c>
      <c r="G7" s="9" t="s">
        <v>10</v>
      </c>
    </row>
    <row r="8" spans="1:7" x14ac:dyDescent="0.2">
      <c r="A8" s="7" t="s">
        <v>11</v>
      </c>
      <c r="B8" s="10">
        <v>155810</v>
      </c>
      <c r="F8" s="5" t="s">
        <v>12</v>
      </c>
      <c r="G8" s="9" t="s">
        <v>13</v>
      </c>
    </row>
    <row r="9" spans="1:7" x14ac:dyDescent="0.2">
      <c r="A9" s="7" t="s">
        <v>14</v>
      </c>
      <c r="B9" s="10">
        <v>7057</v>
      </c>
      <c r="F9" s="5" t="s">
        <v>15</v>
      </c>
      <c r="G9" s="9" t="s">
        <v>13</v>
      </c>
    </row>
    <row r="10" spans="1:7" ht="28" x14ac:dyDescent="0.2">
      <c r="A10" s="7" t="s">
        <v>16</v>
      </c>
      <c r="B10" s="8">
        <v>1327.1</v>
      </c>
      <c r="F10" s="5" t="s">
        <v>9</v>
      </c>
      <c r="G10" s="9" t="s">
        <v>17</v>
      </c>
    </row>
    <row r="11" spans="1:7" x14ac:dyDescent="0.2">
      <c r="A11" s="7" t="s">
        <v>18</v>
      </c>
      <c r="B11" s="11">
        <v>0.51200000000000001</v>
      </c>
      <c r="F11" s="5" t="s">
        <v>19</v>
      </c>
      <c r="G11" s="9" t="s">
        <v>20</v>
      </c>
    </row>
    <row r="12" spans="1:7" ht="28" x14ac:dyDescent="0.2">
      <c r="A12" s="7" t="s">
        <v>21</v>
      </c>
      <c r="B12" s="11">
        <v>0.18099999999999999</v>
      </c>
      <c r="F12" s="5" t="s">
        <v>19</v>
      </c>
      <c r="G12" s="9" t="s">
        <v>22</v>
      </c>
    </row>
    <row r="13" spans="1:7" x14ac:dyDescent="0.2">
      <c r="A13" s="7" t="s">
        <v>23</v>
      </c>
      <c r="B13" s="12">
        <v>8.57</v>
      </c>
      <c r="F13" s="5" t="s">
        <v>24</v>
      </c>
      <c r="G13" s="9" t="s">
        <v>22</v>
      </c>
    </row>
    <row r="14" spans="1:7" x14ac:dyDescent="0.2">
      <c r="A14" s="7" t="s">
        <v>25</v>
      </c>
      <c r="B14" s="11">
        <v>4.5999999999999999E-2</v>
      </c>
      <c r="F14" s="5" t="s">
        <v>19</v>
      </c>
      <c r="G14" s="9" t="s">
        <v>26</v>
      </c>
    </row>
    <row r="15" spans="1:7" x14ac:dyDescent="0.2">
      <c r="A15" s="7" t="s">
        <v>27</v>
      </c>
      <c r="B15" s="11">
        <v>3.3000000000000002E-2</v>
      </c>
      <c r="F15" s="5" t="s">
        <v>19</v>
      </c>
      <c r="G15" s="9" t="s">
        <v>28</v>
      </c>
    </row>
    <row r="16" spans="1:7" ht="26" x14ac:dyDescent="0.2">
      <c r="A16" s="7" t="s">
        <v>29</v>
      </c>
      <c r="B16" s="11">
        <v>-7.0000000000000001E-3</v>
      </c>
      <c r="F16" s="5" t="s">
        <v>19</v>
      </c>
      <c r="G16" s="9" t="s">
        <v>30</v>
      </c>
    </row>
    <row r="17" spans="1:7" ht="28" x14ac:dyDescent="0.2">
      <c r="A17" s="7" t="s">
        <v>31</v>
      </c>
      <c r="B17" s="11">
        <v>9.5000000000000001E-2</v>
      </c>
      <c r="F17" s="5" t="s">
        <v>19</v>
      </c>
      <c r="G17" s="9" t="s">
        <v>32</v>
      </c>
    </row>
    <row r="18" spans="1:7" ht="26" x14ac:dyDescent="0.2">
      <c r="A18" s="7" t="s">
        <v>33</v>
      </c>
      <c r="B18" s="8">
        <v>1780.1</v>
      </c>
      <c r="F18" s="5" t="s">
        <v>9</v>
      </c>
      <c r="G18" s="9" t="s">
        <v>34</v>
      </c>
    </row>
    <row r="19" spans="1:7" ht="26" x14ac:dyDescent="0.2">
      <c r="A19" s="7" t="s">
        <v>35</v>
      </c>
      <c r="B19" s="10">
        <v>82218</v>
      </c>
      <c r="F19" s="5" t="s">
        <v>36</v>
      </c>
      <c r="G19" s="9" t="s">
        <v>37</v>
      </c>
    </row>
    <row r="20" spans="1:7" x14ac:dyDescent="0.2">
      <c r="A20" s="7" t="s">
        <v>38</v>
      </c>
      <c r="B20" s="8">
        <v>560.20000000000005</v>
      </c>
      <c r="F20" s="5" t="s">
        <v>9</v>
      </c>
      <c r="G20" s="9" t="s">
        <v>39</v>
      </c>
    </row>
    <row r="21" spans="1:7" ht="26" x14ac:dyDescent="0.2">
      <c r="A21" s="7" t="s">
        <v>40</v>
      </c>
      <c r="B21" s="10">
        <v>62388</v>
      </c>
      <c r="F21" s="5" t="s">
        <v>36</v>
      </c>
      <c r="G21" s="9" t="s">
        <v>41</v>
      </c>
    </row>
    <row r="22" spans="1:7" x14ac:dyDescent="0.2">
      <c r="A22" s="7" t="s">
        <v>42</v>
      </c>
      <c r="B22" s="10">
        <v>70</v>
      </c>
      <c r="F22" s="5" t="s">
        <v>43</v>
      </c>
      <c r="G22" s="9" t="s">
        <v>44</v>
      </c>
    </row>
    <row r="23" spans="1:7" x14ac:dyDescent="0.2">
      <c r="A23" s="7" t="s">
        <v>45</v>
      </c>
      <c r="B23" s="11">
        <v>5.1999999999999998E-2</v>
      </c>
      <c r="F23" s="5" t="s">
        <v>19</v>
      </c>
      <c r="G23" s="9" t="s">
        <v>46</v>
      </c>
    </row>
    <row r="24" spans="1:7" x14ac:dyDescent="0.2">
      <c r="A24" s="7" t="s">
        <v>47</v>
      </c>
      <c r="B24" s="11">
        <v>0.01</v>
      </c>
      <c r="F24" s="5" t="s">
        <v>19</v>
      </c>
      <c r="G24" s="9" t="s">
        <v>48</v>
      </c>
    </row>
    <row r="25" spans="1:7" x14ac:dyDescent="0.2">
      <c r="A25" s="7" t="s">
        <v>49</v>
      </c>
      <c r="B25" s="10">
        <v>10</v>
      </c>
      <c r="F25" s="5" t="s">
        <v>50</v>
      </c>
      <c r="G25" s="9" t="s">
        <v>51</v>
      </c>
    </row>
    <row r="27" spans="1:7" x14ac:dyDescent="0.2">
      <c r="A27" s="3" t="s">
        <v>52</v>
      </c>
    </row>
    <row r="28" spans="1:7" x14ac:dyDescent="0.2">
      <c r="A28" s="6" t="s">
        <v>4</v>
      </c>
      <c r="B28" s="6" t="s">
        <v>5</v>
      </c>
      <c r="C28" s="6"/>
      <c r="D28" s="6"/>
      <c r="E28" s="6"/>
      <c r="F28" s="6" t="s">
        <v>6</v>
      </c>
      <c r="G28" s="6" t="s">
        <v>53</v>
      </c>
    </row>
    <row r="29" spans="1:7" x14ac:dyDescent="0.2">
      <c r="A29" s="7" t="s">
        <v>54</v>
      </c>
      <c r="B29" s="13">
        <f>Inputs!$B$7*1000/Inputs!$B$8</f>
        <v>12.784802002438868</v>
      </c>
      <c r="F29" s="5" t="s">
        <v>24</v>
      </c>
      <c r="G29" s="9" t="s">
        <v>55</v>
      </c>
    </row>
    <row r="30" spans="1:7" x14ac:dyDescent="0.2">
      <c r="A30" s="7" t="s">
        <v>56</v>
      </c>
      <c r="B30" s="14">
        <f>Inputs!$B$8*1000/Inputs!$B$9</f>
        <v>22078.787019980162</v>
      </c>
      <c r="F30" s="5" t="s">
        <v>57</v>
      </c>
      <c r="G30" s="9" t="s">
        <v>58</v>
      </c>
    </row>
    <row r="31" spans="1:7" x14ac:dyDescent="0.2">
      <c r="A31" s="7" t="s">
        <v>59</v>
      </c>
      <c r="B31" s="15">
        <f>Inputs!$B$10*1000000/Inputs!$B$9</f>
        <v>188054.41405696471</v>
      </c>
      <c r="F31" s="5" t="s">
        <v>24</v>
      </c>
      <c r="G31" s="9" t="s">
        <v>60</v>
      </c>
    </row>
    <row r="32" spans="1:7" x14ac:dyDescent="0.2">
      <c r="A32" s="7" t="s">
        <v>61</v>
      </c>
      <c r="B32" s="16">
        <f>(Inputs!$B$19/1000)/Inputs!$B$20</f>
        <v>0.14676544091395929</v>
      </c>
      <c r="F32" s="5" t="s">
        <v>19</v>
      </c>
      <c r="G32" s="9" t="s">
        <v>62</v>
      </c>
    </row>
    <row r="33" spans="1:7" x14ac:dyDescent="0.2">
      <c r="A33" s="7" t="s">
        <v>63</v>
      </c>
      <c r="B33" s="15">
        <f>Inputs!$B$21*1000/Inputs!$B$22</f>
        <v>891257.14285714284</v>
      </c>
      <c r="F33" s="5" t="s">
        <v>24</v>
      </c>
      <c r="G33" s="9" t="s">
        <v>64</v>
      </c>
    </row>
    <row r="34" spans="1:7" x14ac:dyDescent="0.2">
      <c r="A34" s="7" t="s">
        <v>65</v>
      </c>
      <c r="B34" s="17">
        <f>Inputs!$B$23/Inputs!$B$24</f>
        <v>5.1999999999999993</v>
      </c>
      <c r="F34" s="5" t="s">
        <v>66</v>
      </c>
      <c r="G34" s="9" t="s">
        <v>67</v>
      </c>
    </row>
    <row r="36" spans="1:7" x14ac:dyDescent="0.2">
      <c r="A36" s="3" t="s">
        <v>68</v>
      </c>
    </row>
    <row r="37" spans="1:7" x14ac:dyDescent="0.2">
      <c r="A37" s="6" t="s">
        <v>4</v>
      </c>
      <c r="B37" s="6" t="s">
        <v>5</v>
      </c>
      <c r="C37" s="6"/>
      <c r="D37" s="6"/>
      <c r="E37" s="6"/>
      <c r="F37" s="6" t="s">
        <v>6</v>
      </c>
      <c r="G37" s="6" t="s">
        <v>69</v>
      </c>
    </row>
    <row r="38" spans="1:7" ht="28" x14ac:dyDescent="0.2">
      <c r="A38" s="7" t="s">
        <v>70</v>
      </c>
      <c r="B38" s="18">
        <v>1.25</v>
      </c>
      <c r="F38" s="5" t="s">
        <v>66</v>
      </c>
      <c r="G38" s="9" t="s">
        <v>71</v>
      </c>
    </row>
    <row r="39" spans="1:7" x14ac:dyDescent="0.2">
      <c r="A39" s="7" t="s">
        <v>72</v>
      </c>
      <c r="B39" s="11">
        <v>0.15</v>
      </c>
      <c r="F39" s="5" t="s">
        <v>19</v>
      </c>
      <c r="G39" s="9" t="s">
        <v>73</v>
      </c>
    </row>
    <row r="40" spans="1:7" ht="39" x14ac:dyDescent="0.2">
      <c r="A40" s="7" t="s">
        <v>74</v>
      </c>
      <c r="B40" s="15">
        <f>Inputs!$B$33</f>
        <v>891257.14285714284</v>
      </c>
      <c r="F40" s="5" t="s">
        <v>24</v>
      </c>
      <c r="G40" s="9" t="s">
        <v>75</v>
      </c>
    </row>
    <row r="41" spans="1:7" ht="28" x14ac:dyDescent="0.2">
      <c r="A41" s="7" t="s">
        <v>76</v>
      </c>
      <c r="B41" s="19">
        <v>500000</v>
      </c>
      <c r="F41" s="5" t="s">
        <v>24</v>
      </c>
      <c r="G41" s="9" t="s">
        <v>77</v>
      </c>
    </row>
    <row r="42" spans="1:7" x14ac:dyDescent="0.2">
      <c r="A42" s="7" t="s">
        <v>78</v>
      </c>
      <c r="B42" s="15">
        <f>Inputs!$B$40+Inputs!$B$41</f>
        <v>1391257.1428571427</v>
      </c>
      <c r="F42" s="5" t="s">
        <v>24</v>
      </c>
      <c r="G42" s="9" t="s">
        <v>79</v>
      </c>
    </row>
    <row r="43" spans="1:7" x14ac:dyDescent="0.2">
      <c r="A43" s="7" t="s">
        <v>80</v>
      </c>
      <c r="B43" s="10">
        <v>8</v>
      </c>
      <c r="F43" s="5" t="s">
        <v>81</v>
      </c>
      <c r="G43" s="9" t="s">
        <v>82</v>
      </c>
    </row>
    <row r="44" spans="1:7" ht="28" x14ac:dyDescent="0.2">
      <c r="A44" s="7" t="s">
        <v>83</v>
      </c>
      <c r="B44" s="11">
        <v>0.15</v>
      </c>
      <c r="F44" s="5" t="s">
        <v>19</v>
      </c>
      <c r="G44" s="9" t="s">
        <v>84</v>
      </c>
    </row>
    <row r="45" spans="1:7" x14ac:dyDescent="0.2">
      <c r="A45" s="7" t="s">
        <v>85</v>
      </c>
      <c r="B45" s="11">
        <v>0.03</v>
      </c>
      <c r="F45" s="5" t="s">
        <v>19</v>
      </c>
      <c r="G45" s="9" t="s">
        <v>86</v>
      </c>
    </row>
    <row r="46" spans="1:7" x14ac:dyDescent="0.2">
      <c r="A46" s="7" t="s">
        <v>87</v>
      </c>
      <c r="B46" s="11">
        <v>0.03</v>
      </c>
      <c r="F46" s="5" t="s">
        <v>19</v>
      </c>
      <c r="G46" s="9" t="s">
        <v>88</v>
      </c>
    </row>
    <row r="47" spans="1:7" x14ac:dyDescent="0.2">
      <c r="A47" s="7" t="s">
        <v>89</v>
      </c>
      <c r="B47" s="11">
        <v>0.03</v>
      </c>
      <c r="F47" s="5" t="s">
        <v>19</v>
      </c>
      <c r="G47" s="9" t="s">
        <v>82</v>
      </c>
    </row>
    <row r="48" spans="1:7" x14ac:dyDescent="0.2">
      <c r="A48" s="7" t="s">
        <v>90</v>
      </c>
      <c r="B48" s="11">
        <v>0</v>
      </c>
      <c r="F48" s="5" t="s">
        <v>19</v>
      </c>
      <c r="G48" s="9" t="s">
        <v>91</v>
      </c>
    </row>
    <row r="49" spans="1:7" ht="26" x14ac:dyDescent="0.2">
      <c r="A49" s="7" t="s">
        <v>92</v>
      </c>
      <c r="B49" s="11">
        <v>0</v>
      </c>
      <c r="F49" s="5" t="s">
        <v>19</v>
      </c>
      <c r="G49" s="9" t="s">
        <v>93</v>
      </c>
    </row>
    <row r="50" spans="1:7" x14ac:dyDescent="0.2">
      <c r="A50" s="7" t="s">
        <v>94</v>
      </c>
      <c r="B50" s="10">
        <v>10</v>
      </c>
      <c r="F50" s="5" t="s">
        <v>50</v>
      </c>
      <c r="G50" s="9" t="s">
        <v>95</v>
      </c>
    </row>
    <row r="51" spans="1:7" x14ac:dyDescent="0.2">
      <c r="A51" s="7" t="s">
        <v>96</v>
      </c>
      <c r="B51" s="11">
        <v>0</v>
      </c>
      <c r="F51" s="5" t="s">
        <v>19</v>
      </c>
      <c r="G51" s="9" t="s">
        <v>97</v>
      </c>
    </row>
    <row r="52" spans="1:7" x14ac:dyDescent="0.2">
      <c r="A52" s="7" t="s">
        <v>98</v>
      </c>
      <c r="B52" s="16">
        <f>Inputs!$B$17</f>
        <v>9.5000000000000001E-2</v>
      </c>
      <c r="F52" s="5" t="s">
        <v>19</v>
      </c>
      <c r="G52" s="9" t="s">
        <v>99</v>
      </c>
    </row>
    <row r="54" spans="1:7" x14ac:dyDescent="0.2">
      <c r="A54" s="3" t="s">
        <v>100</v>
      </c>
    </row>
    <row r="55" spans="1:7" x14ac:dyDescent="0.2">
      <c r="A55" s="6" t="s">
        <v>4</v>
      </c>
      <c r="B55" s="6" t="s">
        <v>101</v>
      </c>
      <c r="C55" s="6" t="s">
        <v>102</v>
      </c>
      <c r="D55" s="6" t="s">
        <v>103</v>
      </c>
      <c r="E55" s="6" t="s">
        <v>104</v>
      </c>
      <c r="F55" s="6" t="s">
        <v>6</v>
      </c>
      <c r="G55" s="6" t="s">
        <v>69</v>
      </c>
    </row>
    <row r="56" spans="1:7" ht="26" x14ac:dyDescent="0.2">
      <c r="A56" s="7" t="s">
        <v>105</v>
      </c>
      <c r="B56" s="11">
        <v>1</v>
      </c>
      <c r="C56" s="11">
        <v>1.5</v>
      </c>
      <c r="D56" s="11">
        <v>0.5</v>
      </c>
      <c r="E56" s="20">
        <f>INDEX(B56:D56,Inputs!$B$3)</f>
        <v>1</v>
      </c>
      <c r="F56" s="5" t="s">
        <v>19</v>
      </c>
      <c r="G56" s="9" t="s">
        <v>106</v>
      </c>
    </row>
    <row r="57" spans="1:7" x14ac:dyDescent="0.2">
      <c r="A57" s="7" t="s">
        <v>107</v>
      </c>
      <c r="B57" s="12">
        <v>5</v>
      </c>
      <c r="C57" s="12">
        <v>6.5</v>
      </c>
      <c r="D57" s="12">
        <v>3.5</v>
      </c>
      <c r="E57" s="21">
        <f>INDEX(B57:D57,Inputs!$B$3)</f>
        <v>5</v>
      </c>
      <c r="F57" s="5" t="s">
        <v>24</v>
      </c>
      <c r="G57" s="9" t="s">
        <v>108</v>
      </c>
    </row>
    <row r="58" spans="1:7" ht="28" x14ac:dyDescent="0.2">
      <c r="A58" s="7" t="s">
        <v>109</v>
      </c>
      <c r="B58" s="11">
        <v>0.5</v>
      </c>
      <c r="C58" s="11">
        <v>0.35</v>
      </c>
      <c r="D58" s="11">
        <v>0.65</v>
      </c>
      <c r="E58" s="20">
        <f>INDEX(B58:D58,Inputs!$B$3)</f>
        <v>0.5</v>
      </c>
      <c r="F58" s="5" t="s">
        <v>19</v>
      </c>
      <c r="G58" s="9" t="s">
        <v>110</v>
      </c>
    </row>
    <row r="59" spans="1:7" ht="26" x14ac:dyDescent="0.2">
      <c r="A59" s="7" t="s">
        <v>111</v>
      </c>
      <c r="B59" s="11">
        <v>0.1</v>
      </c>
      <c r="C59" s="11">
        <v>7.4999999999999997E-2</v>
      </c>
      <c r="D59" s="16">
        <f>Inputs!$B$32</f>
        <v>0.14676544091395929</v>
      </c>
      <c r="E59" s="20">
        <f>INDEX(B59:D59,Inputs!$B$3)</f>
        <v>0.1</v>
      </c>
      <c r="F59" s="5" t="s">
        <v>19</v>
      </c>
      <c r="G59" s="9" t="s">
        <v>112</v>
      </c>
    </row>
    <row r="60" spans="1:7" x14ac:dyDescent="0.2">
      <c r="A60" s="7" t="s">
        <v>113</v>
      </c>
      <c r="B60" s="18">
        <v>1</v>
      </c>
      <c r="C60" s="18">
        <v>0.9</v>
      </c>
      <c r="D60" s="18">
        <v>1.25</v>
      </c>
      <c r="E60" s="22">
        <f>INDEX(B60:D60,Inputs!$B$3)</f>
        <v>1</v>
      </c>
      <c r="F60" s="5" t="s">
        <v>66</v>
      </c>
      <c r="G60" s="9" t="s">
        <v>114</v>
      </c>
    </row>
    <row r="61" spans="1:7" x14ac:dyDescent="0.2">
      <c r="A61" s="5" t="s">
        <v>115</v>
      </c>
      <c r="B61" s="15">
        <f>Inputs!$B$42*B60</f>
        <v>1391257.1428571427</v>
      </c>
      <c r="C61" s="15">
        <f>Inputs!$B$42*C60</f>
        <v>1252131.4285714284</v>
      </c>
      <c r="D61" s="15">
        <f>Inputs!$B$42*D60</f>
        <v>1739071.4285714284</v>
      </c>
      <c r="E61" s="15">
        <f>Inputs!$B$42*E60</f>
        <v>1391257.1428571427</v>
      </c>
      <c r="F61" s="5" t="s">
        <v>24</v>
      </c>
      <c r="G61" s="9" t="s">
        <v>116</v>
      </c>
    </row>
    <row r="63" spans="1:7" x14ac:dyDescent="0.2">
      <c r="A63" s="3" t="s">
        <v>117</v>
      </c>
    </row>
    <row r="64" spans="1:7" x14ac:dyDescent="0.2">
      <c r="A64" s="6" t="s">
        <v>4</v>
      </c>
      <c r="B64" s="6" t="s">
        <v>5</v>
      </c>
      <c r="C64" s="6"/>
      <c r="D64" s="6"/>
      <c r="E64" s="6"/>
      <c r="F64" s="6" t="s">
        <v>6</v>
      </c>
      <c r="G64" s="6" t="s">
        <v>118</v>
      </c>
    </row>
    <row r="65" spans="1:7" x14ac:dyDescent="0.2">
      <c r="A65" s="7" t="s">
        <v>119</v>
      </c>
      <c r="B65" s="11">
        <v>0.25</v>
      </c>
      <c r="F65" s="5" t="s">
        <v>19</v>
      </c>
      <c r="G65" s="9" t="s">
        <v>120</v>
      </c>
    </row>
    <row r="66" spans="1:7" x14ac:dyDescent="0.2">
      <c r="A66" s="7" t="s">
        <v>121</v>
      </c>
      <c r="B66" s="12">
        <v>0.75</v>
      </c>
      <c r="F66" s="5" t="s">
        <v>24</v>
      </c>
      <c r="G66" s="9" t="s">
        <v>120</v>
      </c>
    </row>
  </sheetData>
  <dataValidations count="1">
    <dataValidation type="whole" showErrorMessage="1" errorTitle="Scenario" error="Enter 1 (Base), 2 (Upside) or 3 (Downside)." sqref="B3" xr:uid="{00000000-0002-0000-0000-000000000000}">
      <formula1>1</formula1>
      <formula2>3</formula2>
    </dataValidation>
  </dataValidation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43"/>
  <sheetViews>
    <sheetView showGridLines="0"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52" customWidth="1"/>
    <col min="2" max="2" width="10" customWidth="1"/>
    <col min="3" max="13" width="12" customWidth="1"/>
  </cols>
  <sheetData>
    <row r="1" spans="1:13" ht="18" x14ac:dyDescent="0.2">
      <c r="A1" s="1" t="s">
        <v>122</v>
      </c>
    </row>
    <row r="2" spans="1:13" x14ac:dyDescent="0.2">
      <c r="A2" s="3" t="str">
        <f>"Scenario shown: "&amp;Inputs!$C$3&amp;"  (change on Inputs!B3)"</f>
        <v>Scenario shown: Base  (change on Inputs!B3)</v>
      </c>
    </row>
    <row r="3" spans="1:13" x14ac:dyDescent="0.2">
      <c r="A3" s="2" t="s">
        <v>123</v>
      </c>
    </row>
    <row r="4" spans="1:13" x14ac:dyDescent="0.2">
      <c r="A4" s="23" t="s">
        <v>124</v>
      </c>
      <c r="B4" s="24"/>
      <c r="C4" s="23">
        <v>0</v>
      </c>
      <c r="D4" s="23">
        <f t="shared" ref="D4:M4" si="0">C4+1</f>
        <v>1</v>
      </c>
      <c r="E4" s="23">
        <f t="shared" si="0"/>
        <v>2</v>
      </c>
      <c r="F4" s="23">
        <f t="shared" si="0"/>
        <v>3</v>
      </c>
      <c r="G4" s="23">
        <f t="shared" si="0"/>
        <v>4</v>
      </c>
      <c r="H4" s="23">
        <f t="shared" si="0"/>
        <v>5</v>
      </c>
      <c r="I4" s="23">
        <f t="shared" si="0"/>
        <v>6</v>
      </c>
      <c r="J4" s="23">
        <f t="shared" si="0"/>
        <v>7</v>
      </c>
      <c r="K4" s="23">
        <f t="shared" si="0"/>
        <v>8</v>
      </c>
      <c r="L4" s="23">
        <f t="shared" si="0"/>
        <v>9</v>
      </c>
      <c r="M4" s="23">
        <f t="shared" si="0"/>
        <v>10</v>
      </c>
    </row>
    <row r="5" spans="1:13" x14ac:dyDescent="0.2">
      <c r="A5" s="5" t="s">
        <v>125</v>
      </c>
      <c r="B5" s="2"/>
      <c r="C5" s="25">
        <f>1/(1+Inputs!$B$52)^C$4</f>
        <v>1</v>
      </c>
      <c r="D5" s="25">
        <f>1/(1+Inputs!$B$52)^D$4</f>
        <v>0.91324200913242015</v>
      </c>
      <c r="E5" s="25">
        <f>1/(1+Inputs!$B$52)^E$4</f>
        <v>0.8340109672442193</v>
      </c>
      <c r="F5" s="25">
        <f>1/(1+Inputs!$B$52)^F$4</f>
        <v>0.76165385136458386</v>
      </c>
      <c r="G5" s="25">
        <f>1/(1+Inputs!$B$52)^G$4</f>
        <v>0.6955742934836382</v>
      </c>
      <c r="H5" s="25">
        <f>1/(1+Inputs!$B$52)^H$4</f>
        <v>0.63522766528186136</v>
      </c>
      <c r="I5" s="25">
        <f>1/(1+Inputs!$B$52)^I$4</f>
        <v>0.58011658929850352</v>
      </c>
      <c r="J5" s="25">
        <f>1/(1+Inputs!$B$52)^J$4</f>
        <v>0.52978683954201233</v>
      </c>
      <c r="K5" s="25">
        <f>1/(1+Inputs!$B$52)^K$4</f>
        <v>0.4838235977552624</v>
      </c>
      <c r="L5" s="25">
        <f>1/(1+Inputs!$B$52)^L$4</f>
        <v>0.44184803447969173</v>
      </c>
      <c r="M5" s="25">
        <f>1/(1+Inputs!$B$52)^M$4</f>
        <v>0.40351418673944445</v>
      </c>
    </row>
    <row r="6" spans="1:13" x14ac:dyDescent="0.2">
      <c r="A6" s="5" t="s">
        <v>126</v>
      </c>
      <c r="B6" s="2"/>
      <c r="D6" s="26">
        <f>(1+Inputs!$B$45)^(D$4-1)</f>
        <v>1</v>
      </c>
      <c r="E6" s="26">
        <f>(1+Inputs!$B$45)^(E$4-1)</f>
        <v>1.03</v>
      </c>
      <c r="F6" s="26">
        <f>(1+Inputs!$B$45)^(F$4-1)</f>
        <v>1.0609</v>
      </c>
      <c r="G6" s="26">
        <f>(1+Inputs!$B$45)^(G$4-1)</f>
        <v>1.092727</v>
      </c>
      <c r="H6" s="26">
        <f>(1+Inputs!$B$45)^(H$4-1)</f>
        <v>1.1255088099999999</v>
      </c>
      <c r="I6" s="26">
        <f>(1+Inputs!$B$45)^(I$4-1)</f>
        <v>1.1592740742999998</v>
      </c>
      <c r="J6" s="26">
        <f>(1+Inputs!$B$45)^(J$4-1)</f>
        <v>1.1940522965289999</v>
      </c>
      <c r="K6" s="26">
        <f>(1+Inputs!$B$45)^(K$4-1)</f>
        <v>1.22987386542487</v>
      </c>
      <c r="L6" s="26">
        <f>(1+Inputs!$B$45)^(L$4-1)</f>
        <v>1.2667700813876159</v>
      </c>
      <c r="M6" s="26">
        <f>(1+Inputs!$B$45)^(M$4-1)</f>
        <v>1.3047731838292445</v>
      </c>
    </row>
    <row r="7" spans="1:13" x14ac:dyDescent="0.2">
      <c r="A7" s="5" t="s">
        <v>127</v>
      </c>
      <c r="B7" s="2" t="s">
        <v>57</v>
      </c>
      <c r="D7" s="14">
        <f>Inputs!$B$30*Inputs!$B$38*(1+Inputs!$B$48)^(D$4-1)</f>
        <v>27598.483774975204</v>
      </c>
      <c r="E7" s="14">
        <f>Inputs!$B$30*Inputs!$B$38*(1+Inputs!$B$48)^(E$4-1)</f>
        <v>27598.483774975204</v>
      </c>
      <c r="F7" s="14">
        <f>Inputs!$B$30*Inputs!$B$38*(1+Inputs!$B$48)^(F$4-1)</f>
        <v>27598.483774975204</v>
      </c>
      <c r="G7" s="14">
        <f>Inputs!$B$30*Inputs!$B$38*(1+Inputs!$B$48)^(G$4-1)</f>
        <v>27598.483774975204</v>
      </c>
      <c r="H7" s="14">
        <f>Inputs!$B$30*Inputs!$B$38*(1+Inputs!$B$48)^(H$4-1)</f>
        <v>27598.483774975204</v>
      </c>
      <c r="I7" s="14">
        <f>Inputs!$B$30*Inputs!$B$38*(1+Inputs!$B$48)^(I$4-1)</f>
        <v>27598.483774975204</v>
      </c>
      <c r="J7" s="14">
        <f>Inputs!$B$30*Inputs!$B$38*(1+Inputs!$B$48)^(J$4-1)</f>
        <v>27598.483774975204</v>
      </c>
      <c r="K7" s="14">
        <f>Inputs!$B$30*Inputs!$B$38*(1+Inputs!$B$48)^(K$4-1)</f>
        <v>27598.483774975204</v>
      </c>
      <c r="L7" s="14">
        <f>Inputs!$B$30*Inputs!$B$38*(1+Inputs!$B$48)^(L$4-1)</f>
        <v>27598.483774975204</v>
      </c>
      <c r="M7" s="14">
        <f>Inputs!$B$30*Inputs!$B$38*(1+Inputs!$B$48)^(M$4-1)</f>
        <v>27598.483774975204</v>
      </c>
    </row>
    <row r="8" spans="1:13" x14ac:dyDescent="0.2">
      <c r="A8" s="5" t="s">
        <v>128</v>
      </c>
      <c r="B8" s="2" t="s">
        <v>24</v>
      </c>
      <c r="D8" s="13">
        <f>Inputs!$B$29*D6</f>
        <v>12.784802002438868</v>
      </c>
      <c r="E8" s="13">
        <f>Inputs!$B$29*E6</f>
        <v>13.168346062512034</v>
      </c>
      <c r="F8" s="13">
        <f>Inputs!$B$29*F6</f>
        <v>13.563396444387394</v>
      </c>
      <c r="G8" s="13">
        <f>Inputs!$B$29*G6</f>
        <v>13.970298337719017</v>
      </c>
      <c r="H8" s="13">
        <f>Inputs!$B$29*H6</f>
        <v>14.389407287850586</v>
      </c>
      <c r="I8" s="13">
        <f>Inputs!$B$29*I6</f>
        <v>14.821089506486103</v>
      </c>
      <c r="J8" s="13">
        <f>Inputs!$B$29*J6</f>
        <v>15.265722191680688</v>
      </c>
      <c r="K8" s="13">
        <f>Inputs!$B$29*K6</f>
        <v>15.723693857431108</v>
      </c>
      <c r="L8" s="13">
        <f>Inputs!$B$29*L6</f>
        <v>16.195404673154041</v>
      </c>
      <c r="M8" s="13">
        <f>Inputs!$B$29*M6</f>
        <v>16.68126681334866</v>
      </c>
    </row>
    <row r="9" spans="1:13" x14ac:dyDescent="0.2">
      <c r="A9" s="5" t="s">
        <v>129</v>
      </c>
      <c r="B9" s="2" t="s">
        <v>24</v>
      </c>
      <c r="D9" s="13">
        <f>Inputs!$B$13*(1+Inputs!$B$46)^(D$4-1)</f>
        <v>8.57</v>
      </c>
      <c r="E9" s="13">
        <f>Inputs!$B$13*(1+Inputs!$B$46)^(E$4-1)</f>
        <v>8.8270999999999997</v>
      </c>
      <c r="F9" s="13">
        <f>Inputs!$B$13*(1+Inputs!$B$46)^(F$4-1)</f>
        <v>9.0919129999999999</v>
      </c>
      <c r="G9" s="13">
        <f>Inputs!$B$13*(1+Inputs!$B$46)^(G$4-1)</f>
        <v>9.3646703900000006</v>
      </c>
      <c r="H9" s="13">
        <f>Inputs!$B$13*(1+Inputs!$B$46)^(H$4-1)</f>
        <v>9.6456105017000002</v>
      </c>
      <c r="I9" s="13">
        <f>Inputs!$B$13*(1+Inputs!$B$46)^(I$4-1)</f>
        <v>9.9349788167509985</v>
      </c>
      <c r="J9" s="13">
        <f>Inputs!$B$13*(1+Inputs!$B$46)^(J$4-1)</f>
        <v>10.23302818125353</v>
      </c>
      <c r="K9" s="13">
        <f>Inputs!$B$13*(1+Inputs!$B$46)^(K$4-1)</f>
        <v>10.540019026691136</v>
      </c>
      <c r="L9" s="13">
        <f>Inputs!$B$13*(1+Inputs!$B$46)^(L$4-1)</f>
        <v>10.856219597491869</v>
      </c>
      <c r="M9" s="13">
        <f>Inputs!$B$13*(1+Inputs!$B$46)^(M$4-1)</f>
        <v>11.181906185416626</v>
      </c>
    </row>
    <row r="10" spans="1:13" x14ac:dyDescent="0.2">
      <c r="A10" s="5" t="s">
        <v>130</v>
      </c>
      <c r="B10" s="2" t="s">
        <v>24</v>
      </c>
      <c r="D10" s="15">
        <f>Inputs!$B$31*Inputs!$B$44*(1+Inputs!$B$47)^(D$4-1)</f>
        <v>28208.162108544708</v>
      </c>
      <c r="E10" s="15">
        <f>Inputs!$B$31*Inputs!$B$44*(1+Inputs!$B$47)^(E$4-1)</f>
        <v>29054.406971801051</v>
      </c>
      <c r="F10" s="15">
        <f>Inputs!$B$31*Inputs!$B$44*(1+Inputs!$B$47)^(F$4-1)</f>
        <v>29926.039180955078</v>
      </c>
      <c r="G10" s="15">
        <f>Inputs!$B$31*Inputs!$B$44*(1+Inputs!$B$47)^(G$4-1)</f>
        <v>30823.820356383734</v>
      </c>
      <c r="H10" s="15">
        <f>Inputs!$B$31*Inputs!$B$44*(1+Inputs!$B$47)^(H$4-1)</f>
        <v>31748.534967075244</v>
      </c>
      <c r="I10" s="15">
        <f>Inputs!$B$31*Inputs!$B$44*(1+Inputs!$B$47)^(I$4-1)</f>
        <v>32700.991016087497</v>
      </c>
      <c r="J10" s="15">
        <f>Inputs!$B$31*Inputs!$B$44*(1+Inputs!$B$47)^(J$4-1)</f>
        <v>33682.020746570124</v>
      </c>
      <c r="K10" s="15">
        <f>Inputs!$B$31*Inputs!$B$44*(1+Inputs!$B$47)^(K$4-1)</f>
        <v>34692.48136896723</v>
      </c>
      <c r="L10" s="15">
        <f>Inputs!$B$31*Inputs!$B$44*(1+Inputs!$B$47)^(L$4-1)</f>
        <v>35733.255810036244</v>
      </c>
      <c r="M10" s="15">
        <f>Inputs!$B$31*Inputs!$B$44*(1+Inputs!$B$47)^(M$4-1)</f>
        <v>36805.253484337329</v>
      </c>
    </row>
    <row r="12" spans="1:13" x14ac:dyDescent="0.2">
      <c r="A12" s="3" t="s">
        <v>131</v>
      </c>
    </row>
    <row r="13" spans="1:13" x14ac:dyDescent="0.2">
      <c r="A13" s="5" t="s">
        <v>132</v>
      </c>
      <c r="B13" s="2" t="s">
        <v>57</v>
      </c>
      <c r="D13" s="14">
        <f>D7*(1+Inputs!$E$56)</f>
        <v>55196.967549950408</v>
      </c>
      <c r="E13" s="14">
        <f>E7*(1+Inputs!$E$56)</f>
        <v>55196.967549950408</v>
      </c>
      <c r="F13" s="14">
        <f>F7*(1+Inputs!$E$56)</f>
        <v>55196.967549950408</v>
      </c>
      <c r="G13" s="14">
        <f>G7*(1+Inputs!$E$56)</f>
        <v>55196.967549950408</v>
      </c>
      <c r="H13" s="14">
        <f>H7*(1+Inputs!$E$56)</f>
        <v>55196.967549950408</v>
      </c>
      <c r="I13" s="14">
        <f>I7*(1+Inputs!$E$56)</f>
        <v>55196.967549950408</v>
      </c>
      <c r="J13" s="14">
        <f>J7*(1+Inputs!$E$56)</f>
        <v>55196.967549950408</v>
      </c>
      <c r="K13" s="14">
        <f>K7*(1+Inputs!$E$56)</f>
        <v>55196.967549950408</v>
      </c>
      <c r="L13" s="14">
        <f>L7*(1+Inputs!$E$56)</f>
        <v>55196.967549950408</v>
      </c>
      <c r="M13" s="14">
        <f>M7*(1+Inputs!$E$56)</f>
        <v>55196.967549950408</v>
      </c>
    </row>
    <row r="14" spans="1:13" x14ac:dyDescent="0.2">
      <c r="A14" s="5" t="s">
        <v>133</v>
      </c>
      <c r="B14" s="2" t="s">
        <v>57</v>
      </c>
      <c r="D14" s="14">
        <f>D7*Inputs!$E$56*Inputs!$E$58</f>
        <v>13799.241887487602</v>
      </c>
      <c r="E14" s="14">
        <f>E7*Inputs!$E$56*Inputs!$E$58</f>
        <v>13799.241887487602</v>
      </c>
      <c r="F14" s="14">
        <f>F7*Inputs!$E$56*Inputs!$E$58</f>
        <v>13799.241887487602</v>
      </c>
      <c r="G14" s="14">
        <f>G7*Inputs!$E$56*Inputs!$E$58</f>
        <v>13799.241887487602</v>
      </c>
      <c r="H14" s="14">
        <f>H7*Inputs!$E$56*Inputs!$E$58</f>
        <v>13799.241887487602</v>
      </c>
      <c r="I14" s="14">
        <f>I7*Inputs!$E$56*Inputs!$E$58</f>
        <v>13799.241887487602</v>
      </c>
      <c r="J14" s="14">
        <f>J7*Inputs!$E$56*Inputs!$E$58</f>
        <v>13799.241887487602</v>
      </c>
      <c r="K14" s="14">
        <f>K7*Inputs!$E$56*Inputs!$E$58</f>
        <v>13799.241887487602</v>
      </c>
      <c r="L14" s="14">
        <f>L7*Inputs!$E$56*Inputs!$E$58</f>
        <v>13799.241887487602</v>
      </c>
      <c r="M14" s="14">
        <f>M7*Inputs!$E$56*Inputs!$E$58</f>
        <v>13799.241887487602</v>
      </c>
    </row>
    <row r="15" spans="1:13" x14ac:dyDescent="0.2">
      <c r="A15" s="5" t="s">
        <v>134</v>
      </c>
      <c r="B15" s="2" t="s">
        <v>57</v>
      </c>
      <c r="D15" s="14">
        <f>D7*Inputs!$E$56*(1-Inputs!$E$58)</f>
        <v>13799.241887487602</v>
      </c>
      <c r="E15" s="14">
        <f>E7*Inputs!$E$56*(1-Inputs!$E$58)</f>
        <v>13799.241887487602</v>
      </c>
      <c r="F15" s="14">
        <f>F7*Inputs!$E$56*(1-Inputs!$E$58)</f>
        <v>13799.241887487602</v>
      </c>
      <c r="G15" s="14">
        <f>G7*Inputs!$E$56*(1-Inputs!$E$58)</f>
        <v>13799.241887487602</v>
      </c>
      <c r="H15" s="14">
        <f>H7*Inputs!$E$56*(1-Inputs!$E$58)</f>
        <v>13799.241887487602</v>
      </c>
      <c r="I15" s="14">
        <f>I7*Inputs!$E$56*(1-Inputs!$E$58)</f>
        <v>13799.241887487602</v>
      </c>
      <c r="J15" s="14">
        <f>J7*Inputs!$E$56*(1-Inputs!$E$58)</f>
        <v>13799.241887487602</v>
      </c>
      <c r="K15" s="14">
        <f>K7*Inputs!$E$56*(1-Inputs!$E$58)</f>
        <v>13799.241887487602</v>
      </c>
      <c r="L15" s="14">
        <f>L7*Inputs!$E$56*(1-Inputs!$E$58)</f>
        <v>13799.241887487602</v>
      </c>
      <c r="M15" s="14">
        <f>M7*Inputs!$E$56*(1-Inputs!$E$58)</f>
        <v>13799.241887487602</v>
      </c>
    </row>
    <row r="16" spans="1:13" x14ac:dyDescent="0.2">
      <c r="A16" s="5" t="s">
        <v>135</v>
      </c>
      <c r="B16" s="2" t="s">
        <v>24</v>
      </c>
      <c r="D16" s="13">
        <f>(Inputs!$B$29+Inputs!$E$57*(1-Inputs!$B$39))*D6</f>
        <v>17.034802002438866</v>
      </c>
      <c r="E16" s="13">
        <f>(Inputs!$B$29+Inputs!$E$57*(1-Inputs!$B$39))*E6</f>
        <v>17.545846062512034</v>
      </c>
      <c r="F16" s="13">
        <f>(Inputs!$B$29+Inputs!$E$57*(1-Inputs!$B$39))*F6</f>
        <v>18.072221444387392</v>
      </c>
      <c r="G16" s="13">
        <f>(Inputs!$B$29+Inputs!$E$57*(1-Inputs!$B$39))*G6</f>
        <v>18.614388087719014</v>
      </c>
      <c r="H16" s="13">
        <f>(Inputs!$B$29+Inputs!$E$57*(1-Inputs!$B$39))*H6</f>
        <v>19.172819730350582</v>
      </c>
      <c r="I16" s="13">
        <f>(Inputs!$B$29+Inputs!$E$57*(1-Inputs!$B$39))*I6</f>
        <v>19.748004322261099</v>
      </c>
      <c r="J16" s="13">
        <f>(Inputs!$B$29+Inputs!$E$57*(1-Inputs!$B$39))*J6</f>
        <v>20.340444451928935</v>
      </c>
      <c r="K16" s="13">
        <f>(Inputs!$B$29+Inputs!$E$57*(1-Inputs!$B$39))*K6</f>
        <v>20.950657785486804</v>
      </c>
      <c r="L16" s="13">
        <f>(Inputs!$B$29+Inputs!$E$57*(1-Inputs!$B$39))*L6</f>
        <v>21.579177519051406</v>
      </c>
      <c r="M16" s="13">
        <f>(Inputs!$B$29+Inputs!$E$57*(1-Inputs!$B$39))*M6</f>
        <v>22.226552844622947</v>
      </c>
    </row>
    <row r="18" spans="1:13" x14ac:dyDescent="0.2">
      <c r="A18" s="3" t="s">
        <v>136</v>
      </c>
    </row>
    <row r="19" spans="1:13" x14ac:dyDescent="0.2">
      <c r="A19" s="5" t="s">
        <v>137</v>
      </c>
      <c r="B19" s="2" t="s">
        <v>24</v>
      </c>
      <c r="D19" s="15">
        <f t="shared" ref="D19:M19" si="1">D13*D16</f>
        <v>940269.41334844835</v>
      </c>
      <c r="E19" s="15">
        <f t="shared" si="1"/>
        <v>968477.49574890186</v>
      </c>
      <c r="F19" s="15">
        <f t="shared" si="1"/>
        <v>997531.82062136871</v>
      </c>
      <c r="G19" s="15">
        <f t="shared" si="1"/>
        <v>1027457.7752400099</v>
      </c>
      <c r="H19" s="15">
        <f t="shared" si="1"/>
        <v>1058281.50849721</v>
      </c>
      <c r="I19" s="15">
        <f t="shared" si="1"/>
        <v>1090029.9537521263</v>
      </c>
      <c r="J19" s="15">
        <f t="shared" si="1"/>
        <v>1122730.8523646903</v>
      </c>
      <c r="K19" s="15">
        <f t="shared" si="1"/>
        <v>1156412.7779356311</v>
      </c>
      <c r="L19" s="15">
        <f t="shared" si="1"/>
        <v>1191105.1612736997</v>
      </c>
      <c r="M19" s="15">
        <f t="shared" si="1"/>
        <v>1226838.3161119109</v>
      </c>
    </row>
    <row r="20" spans="1:13" x14ac:dyDescent="0.2">
      <c r="A20" s="5" t="s">
        <v>138</v>
      </c>
      <c r="B20" s="2" t="s">
        <v>24</v>
      </c>
      <c r="D20" s="15">
        <f t="shared" ref="D20:M20" si="2">-D7*D8</f>
        <v>-352841.15063057962</v>
      </c>
      <c r="E20" s="15">
        <f t="shared" si="2"/>
        <v>-363426.38514949701</v>
      </c>
      <c r="F20" s="15">
        <f t="shared" si="2"/>
        <v>-374329.17670398188</v>
      </c>
      <c r="G20" s="15">
        <f t="shared" si="2"/>
        <v>-385559.05200510134</v>
      </c>
      <c r="H20" s="15">
        <f t="shared" si="2"/>
        <v>-397125.82356525434</v>
      </c>
      <c r="I20" s="15">
        <f t="shared" si="2"/>
        <v>-409039.59827221197</v>
      </c>
      <c r="J20" s="15">
        <f t="shared" si="2"/>
        <v>-421310.78622037836</v>
      </c>
      <c r="K20" s="15">
        <f t="shared" si="2"/>
        <v>-433950.10980698973</v>
      </c>
      <c r="L20" s="15">
        <f t="shared" si="2"/>
        <v>-446968.61310119939</v>
      </c>
      <c r="M20" s="15">
        <f t="shared" si="2"/>
        <v>-460377.67149423534</v>
      </c>
    </row>
    <row r="21" spans="1:13" x14ac:dyDescent="0.2">
      <c r="A21" s="5" t="s">
        <v>139</v>
      </c>
      <c r="B21" s="2" t="s">
        <v>24</v>
      </c>
      <c r="D21" s="15">
        <f t="shared" ref="D21:M21" si="3">-D14*D8</f>
        <v>-176420.57531528981</v>
      </c>
      <c r="E21" s="15">
        <f t="shared" si="3"/>
        <v>-181713.19257474851</v>
      </c>
      <c r="F21" s="15">
        <f t="shared" si="3"/>
        <v>-187164.58835199094</v>
      </c>
      <c r="G21" s="15">
        <f t="shared" si="3"/>
        <v>-192779.52600255067</v>
      </c>
      <c r="H21" s="15">
        <f t="shared" si="3"/>
        <v>-198562.91178262717</v>
      </c>
      <c r="I21" s="15">
        <f t="shared" si="3"/>
        <v>-204519.79913610598</v>
      </c>
      <c r="J21" s="15">
        <f t="shared" si="3"/>
        <v>-210655.39311018918</v>
      </c>
      <c r="K21" s="15">
        <f t="shared" si="3"/>
        <v>-216975.05490349486</v>
      </c>
      <c r="L21" s="15">
        <f t="shared" si="3"/>
        <v>-223484.30655059969</v>
      </c>
      <c r="M21" s="15">
        <f t="shared" si="3"/>
        <v>-230188.83574711767</v>
      </c>
    </row>
    <row r="22" spans="1:13" x14ac:dyDescent="0.2">
      <c r="A22" s="3" t="s">
        <v>140</v>
      </c>
      <c r="B22" s="2" t="s">
        <v>24</v>
      </c>
      <c r="D22" s="27">
        <f t="shared" ref="D22:M22" si="4">SUM(D19:D21)</f>
        <v>411007.68740257889</v>
      </c>
      <c r="E22" s="27">
        <f t="shared" si="4"/>
        <v>423337.91802465636</v>
      </c>
      <c r="F22" s="27">
        <f t="shared" si="4"/>
        <v>436038.05556539597</v>
      </c>
      <c r="G22" s="27">
        <f t="shared" si="4"/>
        <v>449119.19723235787</v>
      </c>
      <c r="H22" s="27">
        <f t="shared" si="4"/>
        <v>462592.77314932848</v>
      </c>
      <c r="I22" s="27">
        <f t="shared" si="4"/>
        <v>476470.55634380836</v>
      </c>
      <c r="J22" s="27">
        <f t="shared" si="4"/>
        <v>490764.67303412274</v>
      </c>
      <c r="K22" s="27">
        <f t="shared" si="4"/>
        <v>505487.61322514643</v>
      </c>
      <c r="L22" s="27">
        <f t="shared" si="4"/>
        <v>520652.24162190064</v>
      </c>
      <c r="M22" s="27">
        <f t="shared" si="4"/>
        <v>536271.80887055793</v>
      </c>
    </row>
    <row r="23" spans="1:13" x14ac:dyDescent="0.2">
      <c r="A23" s="5" t="s">
        <v>141</v>
      </c>
      <c r="B23" s="2" t="s">
        <v>24</v>
      </c>
      <c r="D23" s="15">
        <f>-Inputs!$B$11*D22</f>
        <v>-210435.93595012039</v>
      </c>
      <c r="E23" s="15">
        <f>-Inputs!$B$11*E22</f>
        <v>-216749.01402862405</v>
      </c>
      <c r="F23" s="15">
        <f>-Inputs!$B$11*F22</f>
        <v>-223251.48444948276</v>
      </c>
      <c r="G23" s="15">
        <f>-Inputs!$B$11*G22</f>
        <v>-229949.02898296723</v>
      </c>
      <c r="H23" s="15">
        <f>-Inputs!$B$11*H22</f>
        <v>-236847.49985245618</v>
      </c>
      <c r="I23" s="15">
        <f>-Inputs!$B$11*I22</f>
        <v>-243952.92484802988</v>
      </c>
      <c r="J23" s="15">
        <f>-Inputs!$B$11*J22</f>
        <v>-251271.51259347083</v>
      </c>
      <c r="K23" s="15">
        <f>-Inputs!$B$11*K22</f>
        <v>-258809.65797127498</v>
      </c>
      <c r="L23" s="15">
        <f>-Inputs!$B$11*L22</f>
        <v>-266573.94771041314</v>
      </c>
      <c r="M23" s="15">
        <f>-Inputs!$B$11*M22</f>
        <v>-274571.16614172567</v>
      </c>
    </row>
    <row r="24" spans="1:13" x14ac:dyDescent="0.2">
      <c r="A24" s="5" t="s">
        <v>142</v>
      </c>
      <c r="B24" s="2" t="s">
        <v>24</v>
      </c>
      <c r="D24" s="15">
        <f>-Inputs!$E$59*D19</f>
        <v>-94026.941334844843</v>
      </c>
      <c r="E24" s="15">
        <f>-Inputs!$E$59*E19</f>
        <v>-96847.749574890186</v>
      </c>
      <c r="F24" s="15">
        <f>-Inputs!$E$59*F19</f>
        <v>-99753.182062136882</v>
      </c>
      <c r="G24" s="15">
        <f>-Inputs!$E$59*G19</f>
        <v>-102745.77752400099</v>
      </c>
      <c r="H24" s="15">
        <f>-Inputs!$E$59*H19</f>
        <v>-105828.150849721</v>
      </c>
      <c r="I24" s="15">
        <f>-Inputs!$E$59*I19</f>
        <v>-109002.99537521263</v>
      </c>
      <c r="J24" s="15">
        <f>-Inputs!$E$59*J19</f>
        <v>-112273.08523646904</v>
      </c>
      <c r="K24" s="15">
        <f>-Inputs!$E$59*K19</f>
        <v>-115641.27779356312</v>
      </c>
      <c r="L24" s="15">
        <f>-Inputs!$E$59*L19</f>
        <v>-119110.51612736998</v>
      </c>
      <c r="M24" s="15">
        <f>-Inputs!$E$59*M19</f>
        <v>-122683.8316111911</v>
      </c>
    </row>
    <row r="25" spans="1:13" x14ac:dyDescent="0.2">
      <c r="A25" s="5" t="s">
        <v>143</v>
      </c>
      <c r="B25" s="2" t="s">
        <v>24</v>
      </c>
      <c r="D25" s="15">
        <f t="shared" ref="D25:M25" si="5">D15*D9</f>
        <v>118259.50297576876</v>
      </c>
      <c r="E25" s="15">
        <f t="shared" si="5"/>
        <v>121807.28806504181</v>
      </c>
      <c r="F25" s="15">
        <f t="shared" si="5"/>
        <v>125461.50670699307</v>
      </c>
      <c r="G25" s="15">
        <f t="shared" si="5"/>
        <v>129225.35190820287</v>
      </c>
      <c r="H25" s="15">
        <f t="shared" si="5"/>
        <v>133102.11246544894</v>
      </c>
      <c r="I25" s="15">
        <f t="shared" si="5"/>
        <v>137095.1758394124</v>
      </c>
      <c r="J25" s="15">
        <f t="shared" si="5"/>
        <v>141208.03111459478</v>
      </c>
      <c r="K25" s="15">
        <f t="shared" si="5"/>
        <v>145444.27204803261</v>
      </c>
      <c r="L25" s="15">
        <f t="shared" si="5"/>
        <v>149807.6002094736</v>
      </c>
      <c r="M25" s="15">
        <f t="shared" si="5"/>
        <v>154301.82821575782</v>
      </c>
    </row>
    <row r="26" spans="1:13" x14ac:dyDescent="0.2">
      <c r="A26" s="5" t="s">
        <v>144</v>
      </c>
      <c r="B26" s="2" t="s">
        <v>24</v>
      </c>
      <c r="D26" s="15">
        <f>-Inputs!$B$12*D25</f>
        <v>-21404.970038614145</v>
      </c>
      <c r="E26" s="15">
        <f>-Inputs!$B$12*E25</f>
        <v>-22047.119139772567</v>
      </c>
      <c r="F26" s="15">
        <f>-Inputs!$B$12*F25</f>
        <v>-22708.532713965746</v>
      </c>
      <c r="G26" s="15">
        <f>-Inputs!$B$12*G25</f>
        <v>-23389.788695384719</v>
      </c>
      <c r="H26" s="15">
        <f>-Inputs!$B$12*H25</f>
        <v>-24091.482356246259</v>
      </c>
      <c r="I26" s="15">
        <f>-Inputs!$B$12*I25</f>
        <v>-24814.226826933645</v>
      </c>
      <c r="J26" s="15">
        <f>-Inputs!$B$12*J25</f>
        <v>-25558.653631741654</v>
      </c>
      <c r="K26" s="15">
        <f>-Inputs!$B$12*K25</f>
        <v>-26325.413240693902</v>
      </c>
      <c r="L26" s="15">
        <f>-Inputs!$B$12*L25</f>
        <v>-27115.175637914723</v>
      </c>
      <c r="M26" s="15">
        <f>-Inputs!$B$12*M25</f>
        <v>-27928.630907052164</v>
      </c>
    </row>
    <row r="27" spans="1:13" x14ac:dyDescent="0.2">
      <c r="A27" s="5" t="s">
        <v>145</v>
      </c>
      <c r="B27" s="2" t="s">
        <v>24</v>
      </c>
      <c r="D27" s="15">
        <f t="shared" ref="D27:M27" si="6">-D10</f>
        <v>-28208.162108544708</v>
      </c>
      <c r="E27" s="15">
        <f t="shared" si="6"/>
        <v>-29054.406971801051</v>
      </c>
      <c r="F27" s="15">
        <f t="shared" si="6"/>
        <v>-29926.039180955078</v>
      </c>
      <c r="G27" s="15">
        <f t="shared" si="6"/>
        <v>-30823.820356383734</v>
      </c>
      <c r="H27" s="15">
        <f t="shared" si="6"/>
        <v>-31748.534967075244</v>
      </c>
      <c r="I27" s="15">
        <f t="shared" si="6"/>
        <v>-32700.991016087497</v>
      </c>
      <c r="J27" s="15">
        <f t="shared" si="6"/>
        <v>-33682.020746570124</v>
      </c>
      <c r="K27" s="15">
        <f t="shared" si="6"/>
        <v>-34692.48136896723</v>
      </c>
      <c r="L27" s="15">
        <f t="shared" si="6"/>
        <v>-35733.255810036244</v>
      </c>
      <c r="M27" s="15">
        <f t="shared" si="6"/>
        <v>-36805.253484337329</v>
      </c>
    </row>
    <row r="28" spans="1:13" x14ac:dyDescent="0.2">
      <c r="A28" s="3" t="s">
        <v>146</v>
      </c>
      <c r="B28" s="2" t="s">
        <v>24</v>
      </c>
      <c r="D28" s="27">
        <f t="shared" ref="D28:M28" si="7">D22+D23+D24+D25+D26+D27</f>
        <v>175191.18094622355</v>
      </c>
      <c r="E28" s="27">
        <f t="shared" si="7"/>
        <v>180446.91637461033</v>
      </c>
      <c r="F28" s="27">
        <f t="shared" si="7"/>
        <v>185860.32386584859</v>
      </c>
      <c r="G28" s="27">
        <f t="shared" si="7"/>
        <v>191436.13358182405</v>
      </c>
      <c r="H28" s="27">
        <f t="shared" si="7"/>
        <v>197179.21758927873</v>
      </c>
      <c r="I28" s="27">
        <f t="shared" si="7"/>
        <v>203094.5941169571</v>
      </c>
      <c r="J28" s="27">
        <f t="shared" si="7"/>
        <v>209187.43194046587</v>
      </c>
      <c r="K28" s="27">
        <f t="shared" si="7"/>
        <v>215463.05489867978</v>
      </c>
      <c r="L28" s="27">
        <f t="shared" si="7"/>
        <v>221926.94654564018</v>
      </c>
      <c r="M28" s="27">
        <f t="shared" si="7"/>
        <v>228584.75494200955</v>
      </c>
    </row>
    <row r="30" spans="1:13" x14ac:dyDescent="0.2">
      <c r="A30" s="5" t="s">
        <v>147</v>
      </c>
      <c r="B30" s="2" t="s">
        <v>24</v>
      </c>
      <c r="D30" s="15">
        <f>IF(D$4&lt;=Inputs!$B$50,Inputs!$E$61/Inputs!$B$50,0)</f>
        <v>139125.71428571426</v>
      </c>
      <c r="E30" s="15">
        <f>IF(E$4&lt;=Inputs!$B$50,Inputs!$E$61/Inputs!$B$50,0)</f>
        <v>139125.71428571426</v>
      </c>
      <c r="F30" s="15">
        <f>IF(F$4&lt;=Inputs!$B$50,Inputs!$E$61/Inputs!$B$50,0)</f>
        <v>139125.71428571426</v>
      </c>
      <c r="G30" s="15">
        <f>IF(G$4&lt;=Inputs!$B$50,Inputs!$E$61/Inputs!$B$50,0)</f>
        <v>139125.71428571426</v>
      </c>
      <c r="H30" s="15">
        <f>IF(H$4&lt;=Inputs!$B$50,Inputs!$E$61/Inputs!$B$50,0)</f>
        <v>139125.71428571426</v>
      </c>
      <c r="I30" s="15">
        <f>IF(I$4&lt;=Inputs!$B$50,Inputs!$E$61/Inputs!$B$50,0)</f>
        <v>139125.71428571426</v>
      </c>
      <c r="J30" s="15">
        <f>IF(J$4&lt;=Inputs!$B$50,Inputs!$E$61/Inputs!$B$50,0)</f>
        <v>139125.71428571426</v>
      </c>
      <c r="K30" s="15">
        <f>IF(K$4&lt;=Inputs!$B$50,Inputs!$E$61/Inputs!$B$50,0)</f>
        <v>139125.71428571426</v>
      </c>
      <c r="L30" s="15">
        <f>IF(L$4&lt;=Inputs!$B$50,Inputs!$E$61/Inputs!$B$50,0)</f>
        <v>139125.71428571426</v>
      </c>
      <c r="M30" s="15">
        <f>IF(M$4&lt;=Inputs!$B$50,Inputs!$E$61/Inputs!$B$50,0)</f>
        <v>139125.71428571426</v>
      </c>
    </row>
    <row r="31" spans="1:13" x14ac:dyDescent="0.2">
      <c r="A31" s="5" t="s">
        <v>148</v>
      </c>
      <c r="B31" s="2" t="s">
        <v>24</v>
      </c>
      <c r="D31" s="15">
        <f>-Inputs!$B$49*(D28-D30)</f>
        <v>0</v>
      </c>
      <c r="E31" s="15">
        <f>-Inputs!$B$49*(E28-E30)</f>
        <v>0</v>
      </c>
      <c r="F31" s="15">
        <f>-Inputs!$B$49*(F28-F30)</f>
        <v>0</v>
      </c>
      <c r="G31" s="15">
        <f>-Inputs!$B$49*(G28-G30)</f>
        <v>0</v>
      </c>
      <c r="H31" s="15">
        <f>-Inputs!$B$49*(H28-H30)</f>
        <v>0</v>
      </c>
      <c r="I31" s="15">
        <f>-Inputs!$B$49*(I28-I30)</f>
        <v>0</v>
      </c>
      <c r="J31" s="15">
        <f>-Inputs!$B$49*(J28-J30)</f>
        <v>0</v>
      </c>
      <c r="K31" s="15">
        <f>-Inputs!$B$49*(K28-K30)</f>
        <v>0</v>
      </c>
      <c r="L31" s="15">
        <f>-Inputs!$B$49*(L28-L30)</f>
        <v>0</v>
      </c>
      <c r="M31" s="15">
        <f>-Inputs!$B$49*(M28-M30)</f>
        <v>0</v>
      </c>
    </row>
    <row r="32" spans="1:13" x14ac:dyDescent="0.2">
      <c r="A32" s="5" t="s">
        <v>149</v>
      </c>
      <c r="B32" s="2" t="s">
        <v>24</v>
      </c>
      <c r="C32" s="15">
        <f>-Inputs!$E$61</f>
        <v>-1391257.1428571427</v>
      </c>
    </row>
    <row r="33" spans="1:13" x14ac:dyDescent="0.2">
      <c r="A33" s="5" t="s">
        <v>150</v>
      </c>
      <c r="B33" s="2" t="s">
        <v>24</v>
      </c>
      <c r="C33" s="15">
        <f>-Inputs!$B$43/52*D7*(D8*(1-Inputs!$B$11)+D9*(1-Inputs!$B$12))</f>
        <v>-56291.622674158782</v>
      </c>
    </row>
    <row r="34" spans="1:13" x14ac:dyDescent="0.2">
      <c r="A34" s="5" t="s">
        <v>151</v>
      </c>
      <c r="B34" s="2" t="s">
        <v>24</v>
      </c>
      <c r="D34" s="15">
        <f>IF(D$4=$M$4,Inputs!$B$51*Inputs!$E$61,0)</f>
        <v>0</v>
      </c>
      <c r="E34" s="15">
        <f>IF(E$4=$M$4,Inputs!$B$51*Inputs!$E$61,0)</f>
        <v>0</v>
      </c>
      <c r="F34" s="15">
        <f>IF(F$4=$M$4,Inputs!$B$51*Inputs!$E$61,0)</f>
        <v>0</v>
      </c>
      <c r="G34" s="15">
        <f>IF(G$4=$M$4,Inputs!$B$51*Inputs!$E$61,0)</f>
        <v>0</v>
      </c>
      <c r="H34" s="15">
        <f>IF(H$4=$M$4,Inputs!$B$51*Inputs!$E$61,0)</f>
        <v>0</v>
      </c>
      <c r="I34" s="15">
        <f>IF(I$4=$M$4,Inputs!$B$51*Inputs!$E$61,0)</f>
        <v>0</v>
      </c>
      <c r="J34" s="15">
        <f>IF(J$4=$M$4,Inputs!$B$51*Inputs!$E$61,0)</f>
        <v>0</v>
      </c>
      <c r="K34" s="15">
        <f>IF(K$4=$M$4,Inputs!$B$51*Inputs!$E$61,0)</f>
        <v>0</v>
      </c>
      <c r="L34" s="15">
        <f>IF(L$4=$M$4,Inputs!$B$51*Inputs!$E$61,0)</f>
        <v>0</v>
      </c>
      <c r="M34" s="15">
        <f>IF(M$4=$M$4,Inputs!$B$51*Inputs!$E$61,0)</f>
        <v>0</v>
      </c>
    </row>
    <row r="35" spans="1:13" x14ac:dyDescent="0.2">
      <c r="A35" s="28" t="s">
        <v>152</v>
      </c>
      <c r="B35" s="29" t="s">
        <v>24</v>
      </c>
      <c r="C35" s="30">
        <f>C32+C33</f>
        <v>-1447548.7655313015</v>
      </c>
      <c r="D35" s="30">
        <f t="shared" ref="D35:M35" si="8">D28+D31+D34</f>
        <v>175191.18094622355</v>
      </c>
      <c r="E35" s="30">
        <f t="shared" si="8"/>
        <v>180446.91637461033</v>
      </c>
      <c r="F35" s="30">
        <f t="shared" si="8"/>
        <v>185860.32386584859</v>
      </c>
      <c r="G35" s="30">
        <f t="shared" si="8"/>
        <v>191436.13358182405</v>
      </c>
      <c r="H35" s="30">
        <f t="shared" si="8"/>
        <v>197179.21758927873</v>
      </c>
      <c r="I35" s="30">
        <f t="shared" si="8"/>
        <v>203094.5941169571</v>
      </c>
      <c r="J35" s="30">
        <f t="shared" si="8"/>
        <v>209187.43194046587</v>
      </c>
      <c r="K35" s="30">
        <f t="shared" si="8"/>
        <v>215463.05489867978</v>
      </c>
      <c r="L35" s="30">
        <f t="shared" si="8"/>
        <v>221926.94654564018</v>
      </c>
      <c r="M35" s="30">
        <f t="shared" si="8"/>
        <v>228584.75494200955</v>
      </c>
    </row>
    <row r="36" spans="1:13" x14ac:dyDescent="0.2">
      <c r="A36" s="5" t="s">
        <v>153</v>
      </c>
      <c r="B36" s="2" t="s">
        <v>24</v>
      </c>
      <c r="C36" s="15">
        <f>C35</f>
        <v>-1447548.7655313015</v>
      </c>
      <c r="D36" s="15">
        <f t="shared" ref="D36:M36" si="9">C36+D35</f>
        <v>-1272357.5845850781</v>
      </c>
      <c r="E36" s="15">
        <f t="shared" si="9"/>
        <v>-1091910.6682104678</v>
      </c>
      <c r="F36" s="15">
        <f t="shared" si="9"/>
        <v>-906050.3443446192</v>
      </c>
      <c r="G36" s="15">
        <f t="shared" si="9"/>
        <v>-714614.21076279518</v>
      </c>
      <c r="H36" s="15">
        <f t="shared" si="9"/>
        <v>-517434.99317351647</v>
      </c>
      <c r="I36" s="15">
        <f t="shared" si="9"/>
        <v>-314340.39905655937</v>
      </c>
      <c r="J36" s="15">
        <f t="shared" si="9"/>
        <v>-105152.9671160935</v>
      </c>
      <c r="K36" s="15">
        <f t="shared" si="9"/>
        <v>110310.08778258628</v>
      </c>
      <c r="L36" s="15">
        <f t="shared" si="9"/>
        <v>332237.03432822647</v>
      </c>
      <c r="M36" s="15">
        <f t="shared" si="9"/>
        <v>560821.78927023604</v>
      </c>
    </row>
    <row r="37" spans="1:13" x14ac:dyDescent="0.2">
      <c r="A37" s="5" t="s">
        <v>154</v>
      </c>
      <c r="B37" s="2" t="s">
        <v>24</v>
      </c>
      <c r="C37" s="15">
        <f t="shared" ref="C37:M37" si="10">C35*C5</f>
        <v>-1447548.7655313015</v>
      </c>
      <c r="D37" s="15">
        <f t="shared" si="10"/>
        <v>159991.94606961057</v>
      </c>
      <c r="E37" s="15">
        <f t="shared" si="10"/>
        <v>150494.7072618255</v>
      </c>
      <c r="F37" s="15">
        <f t="shared" si="10"/>
        <v>141561.23148829245</v>
      </c>
      <c r="G37" s="15">
        <f t="shared" si="10"/>
        <v>133158.05336341663</v>
      </c>
      <c r="H37" s="15">
        <f t="shared" si="10"/>
        <v>125253.69403134166</v>
      </c>
      <c r="I37" s="15">
        <f t="shared" si="10"/>
        <v>117818.54324409307</v>
      </c>
      <c r="J37" s="15">
        <f t="shared" si="10"/>
        <v>110824.74843964922</v>
      </c>
      <c r="K37" s="15">
        <f t="shared" si="10"/>
        <v>104246.11040441887</v>
      </c>
      <c r="L37" s="15">
        <f t="shared" si="10"/>
        <v>98057.985129270732</v>
      </c>
      <c r="M37" s="15">
        <f t="shared" si="10"/>
        <v>92237.19149146018</v>
      </c>
    </row>
    <row r="39" spans="1:13" x14ac:dyDescent="0.2">
      <c r="A39" s="3" t="s">
        <v>155</v>
      </c>
      <c r="C39" s="31">
        <f>SUM(C37:M37)</f>
        <v>-213904.55460792256</v>
      </c>
    </row>
    <row r="40" spans="1:13" x14ac:dyDescent="0.2">
      <c r="A40" s="3" t="s">
        <v>156</v>
      </c>
      <c r="C40" s="32">
        <f>IFERROR(IRR(C35:M35,0.05),"Not meaningful")</f>
        <v>6.1365527983241908E-2</v>
      </c>
    </row>
    <row r="41" spans="1:13" x14ac:dyDescent="0.2">
      <c r="A41" s="3" t="s">
        <v>157</v>
      </c>
      <c r="C41" s="33">
        <f>IF(M36&lt;0,"Not within 10 years",COUNTIF(D36:M36,"&lt;0")-INDEX(C36:M36,COUNTIF(D36:M36,"&lt;0")+1)/INDEX(D35:M35,COUNTIF(D36:M36,"&lt;0")+1))</f>
        <v>7.4880324711145541</v>
      </c>
    </row>
    <row r="42" spans="1:13" x14ac:dyDescent="0.2">
      <c r="A42" s="3" t="s">
        <v>158</v>
      </c>
      <c r="C42" s="27">
        <f>M36</f>
        <v>560821.78927023604</v>
      </c>
    </row>
    <row r="43" spans="1:13" x14ac:dyDescent="0.2">
      <c r="A43" s="5" t="s">
        <v>159</v>
      </c>
      <c r="C43" s="17">
        <f>D19/(Inputs!$B$30*Inputs!$B$29)</f>
        <v>3.3310648845381525</v>
      </c>
      <c r="D43" s="2" t="str">
        <f>"Compare: IMAX screens average "&amp;TEXT(Inputs!$B$34,"0.0")&amp;"x the industry average domestic screen (Inputs, section B)"</f>
        <v>Compare: IMAX screens average 5.2x the industry average domestic screen (Inputs, section B)</v>
      </c>
    </row>
  </sheetData>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54"/>
  <sheetViews>
    <sheetView showGridLines="0"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52" customWidth="1"/>
    <col min="2" max="13" width="12" customWidth="1"/>
  </cols>
  <sheetData>
    <row r="1" spans="1:4" ht="18" x14ac:dyDescent="0.2">
      <c r="A1" s="1" t="s">
        <v>160</v>
      </c>
    </row>
    <row r="2" spans="1:4" x14ac:dyDescent="0.2">
      <c r="A2" s="2" t="s">
        <v>161</v>
      </c>
    </row>
    <row r="4" spans="1:4" x14ac:dyDescent="0.2">
      <c r="A4" s="6" t="s">
        <v>162</v>
      </c>
      <c r="B4" s="6" t="s">
        <v>101</v>
      </c>
      <c r="C4" s="6" t="s">
        <v>102</v>
      </c>
      <c r="D4" s="6" t="s">
        <v>103</v>
      </c>
    </row>
    <row r="5" spans="1:4" x14ac:dyDescent="0.2">
      <c r="A5" s="5" t="s">
        <v>163</v>
      </c>
      <c r="B5" s="34">
        <f>Inputs!$B$56</f>
        <v>1</v>
      </c>
      <c r="C5" s="34">
        <f>Inputs!$C$56</f>
        <v>1.5</v>
      </c>
      <c r="D5" s="34">
        <f>Inputs!$D$56</f>
        <v>0.5</v>
      </c>
    </row>
    <row r="6" spans="1:4" x14ac:dyDescent="0.2">
      <c r="A6" s="5" t="s">
        <v>164</v>
      </c>
      <c r="B6" s="35">
        <f>Inputs!$B$57</f>
        <v>5</v>
      </c>
      <c r="C6" s="35">
        <f>Inputs!$C$57</f>
        <v>6.5</v>
      </c>
      <c r="D6" s="35">
        <f>Inputs!$D$57</f>
        <v>3.5</v>
      </c>
    </row>
    <row r="7" spans="1:4" x14ac:dyDescent="0.2">
      <c r="A7" s="5" t="s">
        <v>165</v>
      </c>
      <c r="B7" s="34">
        <f>Inputs!$B$58</f>
        <v>0.5</v>
      </c>
      <c r="C7" s="34">
        <f>Inputs!$C$58</f>
        <v>0.35</v>
      </c>
      <c r="D7" s="34">
        <f>Inputs!$D$58</f>
        <v>0.65</v>
      </c>
    </row>
    <row r="8" spans="1:4" x14ac:dyDescent="0.2">
      <c r="A8" s="5" t="s">
        <v>166</v>
      </c>
      <c r="B8" s="34">
        <f>Inputs!$B$59</f>
        <v>0.1</v>
      </c>
      <c r="C8" s="34">
        <f>Inputs!$C$59</f>
        <v>7.4999999999999997E-2</v>
      </c>
      <c r="D8" s="34">
        <f>Inputs!$D$59</f>
        <v>0.14676544091395929</v>
      </c>
    </row>
    <row r="9" spans="1:4" x14ac:dyDescent="0.2">
      <c r="A9" s="5" t="s">
        <v>113</v>
      </c>
      <c r="B9" s="36">
        <f>Inputs!$B$60</f>
        <v>1</v>
      </c>
      <c r="C9" s="36">
        <f>Inputs!$C$60</f>
        <v>0.9</v>
      </c>
      <c r="D9" s="36">
        <f>Inputs!$D$60</f>
        <v>1.25</v>
      </c>
    </row>
    <row r="10" spans="1:4" x14ac:dyDescent="0.2">
      <c r="A10" s="5" t="s">
        <v>167</v>
      </c>
      <c r="B10" s="37">
        <f>Inputs!$B$61</f>
        <v>1391257.1428571427</v>
      </c>
      <c r="C10" s="37">
        <f>Inputs!$C$61</f>
        <v>1252131.4285714284</v>
      </c>
      <c r="D10" s="37">
        <f>Inputs!$D$61</f>
        <v>1739071.4285714284</v>
      </c>
    </row>
    <row r="12" spans="1:4" x14ac:dyDescent="0.2">
      <c r="A12" s="6" t="s">
        <v>168</v>
      </c>
      <c r="B12" s="6" t="s">
        <v>101</v>
      </c>
      <c r="C12" s="6" t="s">
        <v>102</v>
      </c>
      <c r="D12" s="6" t="s">
        <v>103</v>
      </c>
    </row>
    <row r="13" spans="1:4" x14ac:dyDescent="0.2">
      <c r="A13" s="3" t="s">
        <v>155</v>
      </c>
      <c r="B13" s="31">
        <f>SUMPRODUCT(Model!$C$5:$M$5,C29:M29)</f>
        <v>-213904.55460792259</v>
      </c>
      <c r="C13" s="31">
        <f>SUMPRODUCT(Model!$C$5:$M$5,C41:M41)</f>
        <v>1647821.4505830901</v>
      </c>
      <c r="D13" s="31">
        <f>SUMPRODUCT(Model!$C$5:$M$5,C53:M53)</f>
        <v>-1794151.3591257182</v>
      </c>
    </row>
    <row r="14" spans="1:4" x14ac:dyDescent="0.2">
      <c r="A14" s="3" t="s">
        <v>156</v>
      </c>
      <c r="B14" s="38">
        <f>IFERROR(IRR(C29:M29,0.05),"Not meaningful")</f>
        <v>6.1365527983241908E-2</v>
      </c>
      <c r="C14" s="38">
        <f>IFERROR(IRR(C41:M41,0.05),"Not meaningful")</f>
        <v>0.32500642972008431</v>
      </c>
      <c r="D14" s="38" t="str">
        <f>IFERROR(IRR(C53:M53,0.05),"Not meaningful")</f>
        <v>Not meaningful</v>
      </c>
    </row>
    <row r="15" spans="1:4" x14ac:dyDescent="0.2">
      <c r="A15" s="3" t="s">
        <v>157</v>
      </c>
      <c r="B15" s="39">
        <f>IF(M30&lt;0,"Not within 10 years",COUNTIF(D30:M30,"&lt;0")-INDEX(C30:M30,COUNTIF(D30:M30,"&lt;0")+1)/INDEX(D29:M29,COUNTIF(D30:M30,"&lt;0")+1))</f>
        <v>7.4880324711145541</v>
      </c>
      <c r="C15" s="39">
        <f>IF(M42&lt;0,"Not within 10 years",COUNTIF(D42:M42,"&lt;0")-INDEX(C42:M42,COUNTIF(D42:M42,"&lt;0")+1)/INDEX(D41:M41,COUNTIF(D42:M42,"&lt;0")+1))</f>
        <v>3.0235483977176711</v>
      </c>
      <c r="D15" s="39" t="str">
        <f>IF(M54&lt;0,"Not within 10 years",COUNTIF(D54:M54,"&lt;0")-INDEX(C54:M54,COUNTIF(D54:M54,"&lt;0")+1)/INDEX(D53:M53,COUNTIF(D54:M54,"&lt;0")+1))</f>
        <v>Not within 10 years</v>
      </c>
    </row>
    <row r="16" spans="1:4" x14ac:dyDescent="0.2">
      <c r="A16" s="3" t="s">
        <v>158</v>
      </c>
      <c r="B16" s="15">
        <f>M30</f>
        <v>560821.78927023581</v>
      </c>
      <c r="C16" s="15">
        <f>M42</f>
        <v>3504337.6764383321</v>
      </c>
      <c r="D16" s="15">
        <f>M54</f>
        <v>-1793390.4186555075</v>
      </c>
    </row>
    <row r="17" spans="1:13" x14ac:dyDescent="0.2">
      <c r="A17" s="3" t="s">
        <v>169</v>
      </c>
      <c r="B17" s="15">
        <f>D26</f>
        <v>175191.18094622355</v>
      </c>
      <c r="C17" s="15">
        <f>D38</f>
        <v>419819.5564452848</v>
      </c>
      <c r="D17" s="15">
        <f>D50</f>
        <v>172.07374017846814</v>
      </c>
    </row>
    <row r="19" spans="1:13" x14ac:dyDescent="0.2">
      <c r="A19" s="5" t="s">
        <v>170</v>
      </c>
      <c r="B19" s="3" t="str">
        <f>IF(ABS(Model!$C$39-INDEX(B13:D13,Inputs!$B$3))&lt;0.5,"OK","CHECK")</f>
        <v>OK</v>
      </c>
    </row>
    <row r="21" spans="1:13" x14ac:dyDescent="0.2">
      <c r="A21" s="23" t="s">
        <v>171</v>
      </c>
      <c r="B21" s="23" t="s">
        <v>124</v>
      </c>
      <c r="C21" s="40">
        <f>Model!C$4</f>
        <v>0</v>
      </c>
      <c r="D21" s="40">
        <f>Model!D$4</f>
        <v>1</v>
      </c>
      <c r="E21" s="40">
        <f>Model!E$4</f>
        <v>2</v>
      </c>
      <c r="F21" s="40">
        <f>Model!F$4</f>
        <v>3</v>
      </c>
      <c r="G21" s="40">
        <f>Model!G$4</f>
        <v>4</v>
      </c>
      <c r="H21" s="40">
        <f>Model!H$4</f>
        <v>5</v>
      </c>
      <c r="I21" s="40">
        <f>Model!I$4</f>
        <v>6</v>
      </c>
      <c r="J21" s="40">
        <f>Model!J$4</f>
        <v>7</v>
      </c>
      <c r="K21" s="40">
        <f>Model!K$4</f>
        <v>8</v>
      </c>
      <c r="L21" s="40">
        <f>Model!L$4</f>
        <v>9</v>
      </c>
      <c r="M21" s="40">
        <f>Model!M$4</f>
        <v>10</v>
      </c>
    </row>
    <row r="22" spans="1:13" x14ac:dyDescent="0.2">
      <c r="A22" s="5" t="s">
        <v>140</v>
      </c>
      <c r="D22" s="15">
        <f>Model!D$7*(1+$B$5)*((Inputs!$B$29+$B$6*(1-Inputs!$B$39))*Model!D$6)-Model!D$7*Model!D$8-Model!D$7*$B$5*$B$7*Model!D$8</f>
        <v>411007.68740257889</v>
      </c>
      <c r="E22" s="15">
        <f>Model!E$7*(1+$B$5)*((Inputs!$B$29+$B$6*(1-Inputs!$B$39))*Model!E$6)-Model!E$7*Model!E$8-Model!E$7*$B$5*$B$7*Model!E$8</f>
        <v>423337.91802465636</v>
      </c>
      <c r="F22" s="15">
        <f>Model!F$7*(1+$B$5)*((Inputs!$B$29+$B$6*(1-Inputs!$B$39))*Model!F$6)-Model!F$7*Model!F$8-Model!F$7*$B$5*$B$7*Model!F$8</f>
        <v>436038.05556539597</v>
      </c>
      <c r="G22" s="15">
        <f>Model!G$7*(1+$B$5)*((Inputs!$B$29+$B$6*(1-Inputs!$B$39))*Model!G$6)-Model!G$7*Model!G$8-Model!G$7*$B$5*$B$7*Model!G$8</f>
        <v>449119.19723235787</v>
      </c>
      <c r="H22" s="15">
        <f>Model!H$7*(1+$B$5)*((Inputs!$B$29+$B$6*(1-Inputs!$B$39))*Model!H$6)-Model!H$7*Model!H$8-Model!H$7*$B$5*$B$7*Model!H$8</f>
        <v>462592.77314932848</v>
      </c>
      <c r="I22" s="15">
        <f>Model!I$7*(1+$B$5)*((Inputs!$B$29+$B$6*(1-Inputs!$B$39))*Model!I$6)-Model!I$7*Model!I$8-Model!I$7*$B$5*$B$7*Model!I$8</f>
        <v>476470.55634380836</v>
      </c>
      <c r="J22" s="15">
        <f>Model!J$7*(1+$B$5)*((Inputs!$B$29+$B$6*(1-Inputs!$B$39))*Model!J$6)-Model!J$7*Model!J$8-Model!J$7*$B$5*$B$7*Model!J$8</f>
        <v>490764.67303412274</v>
      </c>
      <c r="K22" s="15">
        <f>Model!K$7*(1+$B$5)*((Inputs!$B$29+$B$6*(1-Inputs!$B$39))*Model!K$6)-Model!K$7*Model!K$8-Model!K$7*$B$5*$B$7*Model!K$8</f>
        <v>505487.61322514643</v>
      </c>
      <c r="L22" s="15">
        <f>Model!L$7*(1+$B$5)*((Inputs!$B$29+$B$6*(1-Inputs!$B$39))*Model!L$6)-Model!L$7*Model!L$8-Model!L$7*$B$5*$B$7*Model!L$8</f>
        <v>520652.24162190064</v>
      </c>
      <c r="M22" s="15">
        <f>Model!M$7*(1+$B$5)*((Inputs!$B$29+$B$6*(1-Inputs!$B$39))*Model!M$6)-Model!M$7*Model!M$8-Model!M$7*$B$5*$B$7*Model!M$8</f>
        <v>536271.80887055793</v>
      </c>
    </row>
    <row r="23" spans="1:13" x14ac:dyDescent="0.2">
      <c r="A23" s="5" t="s">
        <v>172</v>
      </c>
      <c r="D23" s="15">
        <f>-Inputs!$B$11*D22-$B$8*Model!D$7*(1+$B$5)*((Inputs!$B$29+$B$6*(1-Inputs!$B$39))*Model!D$6)</f>
        <v>-304462.87728496525</v>
      </c>
      <c r="E23" s="15">
        <f>-Inputs!$B$11*E22-$B$8*Model!E$7*(1+$B$5)*((Inputs!$B$29+$B$6*(1-Inputs!$B$39))*Model!E$6)</f>
        <v>-313596.76360351424</v>
      </c>
      <c r="F23" s="15">
        <f>-Inputs!$B$11*F22-$B$8*Model!F$7*(1+$B$5)*((Inputs!$B$29+$B$6*(1-Inputs!$B$39))*Model!F$6)</f>
        <v>-323004.66651161964</v>
      </c>
      <c r="G23" s="15">
        <f>-Inputs!$B$11*G22-$B$8*Model!G$7*(1+$B$5)*((Inputs!$B$29+$B$6*(1-Inputs!$B$39))*Model!G$6)</f>
        <v>-332694.80650696822</v>
      </c>
      <c r="H23" s="15">
        <f>-Inputs!$B$11*H22-$B$8*Model!H$7*(1+$B$5)*((Inputs!$B$29+$B$6*(1-Inputs!$B$39))*Model!H$6)</f>
        <v>-342675.6507021772</v>
      </c>
      <c r="I23" s="15">
        <f>-Inputs!$B$11*I22-$B$8*Model!I$7*(1+$B$5)*((Inputs!$B$29+$B$6*(1-Inputs!$B$39))*Model!I$6)</f>
        <v>-352955.92022324255</v>
      </c>
      <c r="J23" s="15">
        <f>-Inputs!$B$11*J22-$B$8*Model!J$7*(1+$B$5)*((Inputs!$B$29+$B$6*(1-Inputs!$B$39))*Model!J$6)</f>
        <v>-363544.59782993986</v>
      </c>
      <c r="K23" s="15">
        <f>-Inputs!$B$11*K22-$B$8*Model!K$7*(1+$B$5)*((Inputs!$B$29+$B$6*(1-Inputs!$B$39))*Model!K$6)</f>
        <v>-374450.93576483813</v>
      </c>
      <c r="L23" s="15">
        <f>-Inputs!$B$11*L22-$B$8*Model!L$7*(1+$B$5)*((Inputs!$B$29+$B$6*(1-Inputs!$B$39))*Model!L$6)</f>
        <v>-385684.46383778314</v>
      </c>
      <c r="M23" s="15">
        <f>-Inputs!$B$11*M22-$B$8*Model!M$7*(1+$B$5)*((Inputs!$B$29+$B$6*(1-Inputs!$B$39))*Model!M$6)</f>
        <v>-397254.99775291677</v>
      </c>
    </row>
    <row r="24" spans="1:13" x14ac:dyDescent="0.2">
      <c r="A24" s="5" t="s">
        <v>173</v>
      </c>
      <c r="D24" s="15">
        <f>Model!D$7*$B$5*(1-$B$7)*Model!D$9*(1-Inputs!$B$12)</f>
        <v>96854.53293715461</v>
      </c>
      <c r="E24" s="15">
        <f>Model!E$7*$B$5*(1-$B$7)*Model!E$9*(1-Inputs!$B$12)</f>
        <v>99760.16892526923</v>
      </c>
      <c r="F24" s="15">
        <f>Model!F$7*$B$5*(1-$B$7)*Model!F$9*(1-Inputs!$B$12)</f>
        <v>102752.97399302732</v>
      </c>
      <c r="G24" s="15">
        <f>Model!G$7*$B$5*(1-$B$7)*Model!G$9*(1-Inputs!$B$12)</f>
        <v>105835.56321281815</v>
      </c>
      <c r="H24" s="15">
        <f>Model!H$7*$B$5*(1-$B$7)*Model!H$9*(1-Inputs!$B$12)</f>
        <v>109010.63010920267</v>
      </c>
      <c r="I24" s="15">
        <f>Model!I$7*$B$5*(1-$B$7)*Model!I$9*(1-Inputs!$B$12)</f>
        <v>112280.94901247876</v>
      </c>
      <c r="J24" s="15">
        <f>Model!J$7*$B$5*(1-$B$7)*Model!J$9*(1-Inputs!$B$12)</f>
        <v>115649.37748285312</v>
      </c>
      <c r="K24" s="15">
        <f>Model!K$7*$B$5*(1-$B$7)*Model!K$9*(1-Inputs!$B$12)</f>
        <v>119118.85880733871</v>
      </c>
      <c r="L24" s="15">
        <f>Model!L$7*$B$5*(1-$B$7)*Model!L$9*(1-Inputs!$B$12)</f>
        <v>122692.42457155888</v>
      </c>
      <c r="M24" s="15">
        <f>Model!M$7*$B$5*(1-$B$7)*Model!M$9*(1-Inputs!$B$12)</f>
        <v>126373.19730870565</v>
      </c>
    </row>
    <row r="25" spans="1:13" x14ac:dyDescent="0.2">
      <c r="A25" s="5" t="s">
        <v>145</v>
      </c>
      <c r="D25" s="15">
        <f>-Model!D$10</f>
        <v>-28208.162108544708</v>
      </c>
      <c r="E25" s="15">
        <f>-Model!E$10</f>
        <v>-29054.406971801051</v>
      </c>
      <c r="F25" s="15">
        <f>-Model!F$10</f>
        <v>-29926.039180955078</v>
      </c>
      <c r="G25" s="15">
        <f>-Model!G$10</f>
        <v>-30823.820356383734</v>
      </c>
      <c r="H25" s="15">
        <f>-Model!H$10</f>
        <v>-31748.534967075244</v>
      </c>
      <c r="I25" s="15">
        <f>-Model!I$10</f>
        <v>-32700.991016087497</v>
      </c>
      <c r="J25" s="15">
        <f>-Model!J$10</f>
        <v>-33682.020746570124</v>
      </c>
      <c r="K25" s="15">
        <f>-Model!K$10</f>
        <v>-34692.48136896723</v>
      </c>
      <c r="L25" s="15">
        <f>-Model!L$10</f>
        <v>-35733.255810036244</v>
      </c>
      <c r="M25" s="15">
        <f>-Model!M$10</f>
        <v>-36805.253484337329</v>
      </c>
    </row>
    <row r="26" spans="1:13" x14ac:dyDescent="0.2">
      <c r="A26" s="5" t="s">
        <v>146</v>
      </c>
      <c r="D26" s="15">
        <f t="shared" ref="D26:M26" si="0">SUM(D22:D25)</f>
        <v>175191.18094622355</v>
      </c>
      <c r="E26" s="15">
        <f t="shared" si="0"/>
        <v>180446.9163746103</v>
      </c>
      <c r="F26" s="15">
        <f t="shared" si="0"/>
        <v>185860.32386584859</v>
      </c>
      <c r="G26" s="15">
        <f t="shared" si="0"/>
        <v>191436.13358182405</v>
      </c>
      <c r="H26" s="15">
        <f t="shared" si="0"/>
        <v>197179.21758927871</v>
      </c>
      <c r="I26" s="15">
        <f t="shared" si="0"/>
        <v>203094.59411695707</v>
      </c>
      <c r="J26" s="15">
        <f t="shared" si="0"/>
        <v>209187.43194046587</v>
      </c>
      <c r="K26" s="15">
        <f t="shared" si="0"/>
        <v>215463.05489867978</v>
      </c>
      <c r="L26" s="15">
        <f t="shared" si="0"/>
        <v>221926.94654564015</v>
      </c>
      <c r="M26" s="15">
        <f t="shared" si="0"/>
        <v>228584.75494200949</v>
      </c>
    </row>
    <row r="27" spans="1:13" x14ac:dyDescent="0.2">
      <c r="A27" s="5" t="s">
        <v>148</v>
      </c>
      <c r="D27" s="15">
        <f>-Inputs!$B$49*(D26-IF(D$21&lt;=Inputs!$B$50,$B$10/Inputs!$B$50,0))</f>
        <v>0</v>
      </c>
      <c r="E27" s="15">
        <f>-Inputs!$B$49*(E26-IF(E$21&lt;=Inputs!$B$50,$B$10/Inputs!$B$50,0))</f>
        <v>0</v>
      </c>
      <c r="F27" s="15">
        <f>-Inputs!$B$49*(F26-IF(F$21&lt;=Inputs!$B$50,$B$10/Inputs!$B$50,0))</f>
        <v>0</v>
      </c>
      <c r="G27" s="15">
        <f>-Inputs!$B$49*(G26-IF(G$21&lt;=Inputs!$B$50,$B$10/Inputs!$B$50,0))</f>
        <v>0</v>
      </c>
      <c r="H27" s="15">
        <f>-Inputs!$B$49*(H26-IF(H$21&lt;=Inputs!$B$50,$B$10/Inputs!$B$50,0))</f>
        <v>0</v>
      </c>
      <c r="I27" s="15">
        <f>-Inputs!$B$49*(I26-IF(I$21&lt;=Inputs!$B$50,$B$10/Inputs!$B$50,0))</f>
        <v>0</v>
      </c>
      <c r="J27" s="15">
        <f>-Inputs!$B$49*(J26-IF(J$21&lt;=Inputs!$B$50,$B$10/Inputs!$B$50,0))</f>
        <v>0</v>
      </c>
      <c r="K27" s="15">
        <f>-Inputs!$B$49*(K26-IF(K$21&lt;=Inputs!$B$50,$B$10/Inputs!$B$50,0))</f>
        <v>0</v>
      </c>
      <c r="L27" s="15">
        <f>-Inputs!$B$49*(L26-IF(L$21&lt;=Inputs!$B$50,$B$10/Inputs!$B$50,0))</f>
        <v>0</v>
      </c>
      <c r="M27" s="15">
        <f>-Inputs!$B$49*(M26-IF(M$21&lt;=Inputs!$B$50,$B$10/Inputs!$B$50,0))</f>
        <v>0</v>
      </c>
    </row>
    <row r="28" spans="1:13" x14ac:dyDescent="0.2">
      <c r="A28" s="5" t="s">
        <v>174</v>
      </c>
      <c r="C28" s="15">
        <f>-$B$10-Inputs!$B$43/52*Model!$D$7*(Model!$D$8*(1-Inputs!$B$11)+Model!$D$9*(1-Inputs!$B$12))</f>
        <v>-1447548.7655313015</v>
      </c>
      <c r="D28" s="15">
        <f>IF(D$21=$M$21,Inputs!$B$51*$B$10,0)</f>
        <v>0</v>
      </c>
      <c r="E28" s="15">
        <f>IF(E$21=$M$21,Inputs!$B$51*$B$10,0)</f>
        <v>0</v>
      </c>
      <c r="F28" s="15">
        <f>IF(F$21=$M$21,Inputs!$B$51*$B$10,0)</f>
        <v>0</v>
      </c>
      <c r="G28" s="15">
        <f>IF(G$21=$M$21,Inputs!$B$51*$B$10,0)</f>
        <v>0</v>
      </c>
      <c r="H28" s="15">
        <f>IF(H$21=$M$21,Inputs!$B$51*$B$10,0)</f>
        <v>0</v>
      </c>
      <c r="I28" s="15">
        <f>IF(I$21=$M$21,Inputs!$B$51*$B$10,0)</f>
        <v>0</v>
      </c>
      <c r="J28" s="15">
        <f>IF(J$21=$M$21,Inputs!$B$51*$B$10,0)</f>
        <v>0</v>
      </c>
      <c r="K28" s="15">
        <f>IF(K$21=$M$21,Inputs!$B$51*$B$10,0)</f>
        <v>0</v>
      </c>
      <c r="L28" s="15">
        <f>IF(L$21=$M$21,Inputs!$B$51*$B$10,0)</f>
        <v>0</v>
      </c>
      <c r="M28" s="15">
        <f>IF(M$21=$M$21,Inputs!$B$51*$B$10,0)</f>
        <v>0</v>
      </c>
    </row>
    <row r="29" spans="1:13" x14ac:dyDescent="0.2">
      <c r="A29" s="3" t="s">
        <v>152</v>
      </c>
      <c r="C29" s="27">
        <f>C28</f>
        <v>-1447548.7655313015</v>
      </c>
      <c r="D29" s="27">
        <f t="shared" ref="D29:M29" si="1">D26+D27+D28</f>
        <v>175191.18094622355</v>
      </c>
      <c r="E29" s="27">
        <f t="shared" si="1"/>
        <v>180446.9163746103</v>
      </c>
      <c r="F29" s="27">
        <f t="shared" si="1"/>
        <v>185860.32386584859</v>
      </c>
      <c r="G29" s="27">
        <f t="shared" si="1"/>
        <v>191436.13358182405</v>
      </c>
      <c r="H29" s="27">
        <f t="shared" si="1"/>
        <v>197179.21758927871</v>
      </c>
      <c r="I29" s="27">
        <f t="shared" si="1"/>
        <v>203094.59411695707</v>
      </c>
      <c r="J29" s="27">
        <f t="shared" si="1"/>
        <v>209187.43194046587</v>
      </c>
      <c r="K29" s="27">
        <f t="shared" si="1"/>
        <v>215463.05489867978</v>
      </c>
      <c r="L29" s="27">
        <f t="shared" si="1"/>
        <v>221926.94654564015</v>
      </c>
      <c r="M29" s="27">
        <f t="shared" si="1"/>
        <v>228584.75494200949</v>
      </c>
    </row>
    <row r="30" spans="1:13" x14ac:dyDescent="0.2">
      <c r="A30" s="5" t="s">
        <v>153</v>
      </c>
      <c r="C30" s="15">
        <f>C29</f>
        <v>-1447548.7655313015</v>
      </c>
      <c r="D30" s="15">
        <f t="shared" ref="D30:M30" si="2">C30+D29</f>
        <v>-1272357.5845850781</v>
      </c>
      <c r="E30" s="15">
        <f t="shared" si="2"/>
        <v>-1091910.6682104678</v>
      </c>
      <c r="F30" s="15">
        <f t="shared" si="2"/>
        <v>-906050.3443446192</v>
      </c>
      <c r="G30" s="15">
        <f t="shared" si="2"/>
        <v>-714614.21076279518</v>
      </c>
      <c r="H30" s="15">
        <f t="shared" si="2"/>
        <v>-517434.99317351647</v>
      </c>
      <c r="I30" s="15">
        <f t="shared" si="2"/>
        <v>-314340.39905655943</v>
      </c>
      <c r="J30" s="15">
        <f t="shared" si="2"/>
        <v>-105152.96711609355</v>
      </c>
      <c r="K30" s="15">
        <f t="shared" si="2"/>
        <v>110310.08778258623</v>
      </c>
      <c r="L30" s="15">
        <f t="shared" si="2"/>
        <v>332237.03432822635</v>
      </c>
      <c r="M30" s="15">
        <f t="shared" si="2"/>
        <v>560821.78927023581</v>
      </c>
    </row>
    <row r="33" spans="1:13" x14ac:dyDescent="0.2">
      <c r="A33" s="23" t="s">
        <v>175</v>
      </c>
      <c r="B33" s="23" t="s">
        <v>124</v>
      </c>
      <c r="C33" s="40">
        <f>Model!C$4</f>
        <v>0</v>
      </c>
      <c r="D33" s="40">
        <f>Model!D$4</f>
        <v>1</v>
      </c>
      <c r="E33" s="40">
        <f>Model!E$4</f>
        <v>2</v>
      </c>
      <c r="F33" s="40">
        <f>Model!F$4</f>
        <v>3</v>
      </c>
      <c r="G33" s="40">
        <f>Model!G$4</f>
        <v>4</v>
      </c>
      <c r="H33" s="40">
        <f>Model!H$4</f>
        <v>5</v>
      </c>
      <c r="I33" s="40">
        <f>Model!I$4</f>
        <v>6</v>
      </c>
      <c r="J33" s="40">
        <f>Model!J$4</f>
        <v>7</v>
      </c>
      <c r="K33" s="40">
        <f>Model!K$4</f>
        <v>8</v>
      </c>
      <c r="L33" s="40">
        <f>Model!L$4</f>
        <v>9</v>
      </c>
      <c r="M33" s="40">
        <f>Model!M$4</f>
        <v>10</v>
      </c>
    </row>
    <row r="34" spans="1:13" x14ac:dyDescent="0.2">
      <c r="A34" s="5" t="s">
        <v>140</v>
      </c>
      <c r="D34" s="15">
        <f>Model!D$7*(1+$C$5)*((Inputs!$B$29+$C$6*(1-Inputs!$B$39))*Model!D$6)-Model!D$7*Model!D$8-Model!D$7*$C$5*$C$7*Model!D$8</f>
        <v>725224.17900666012</v>
      </c>
      <c r="E34" s="15">
        <f>Model!E$7*(1+$C$5)*((Inputs!$B$29+$C$6*(1-Inputs!$B$39))*Model!E$6)-Model!E$7*Model!E$8-Model!E$7*$C$5*$C$7*Model!E$8</f>
        <v>746980.90437685989</v>
      </c>
      <c r="F34" s="15">
        <f>Model!F$7*(1+$C$5)*((Inputs!$B$29+$C$6*(1-Inputs!$B$39))*Model!F$6)-Model!F$7*Model!F$8-Model!F$7*$C$5*$C$7*Model!F$8</f>
        <v>769390.33150816569</v>
      </c>
      <c r="G34" s="15">
        <f>Model!G$7*(1+$C$5)*((Inputs!$B$29+$C$6*(1-Inputs!$B$39))*Model!G$6)-Model!G$7*Model!G$8-Model!G$7*$C$5*$C$7*Model!G$8</f>
        <v>792472.04145341087</v>
      </c>
      <c r="H34" s="15">
        <f>Model!H$7*(1+$C$5)*((Inputs!$B$29+$C$6*(1-Inputs!$B$39))*Model!H$6)-Model!H$7*Model!H$8-Model!H$7*$C$5*$C$7*Model!H$8</f>
        <v>816246.20269701304</v>
      </c>
      <c r="I34" s="15">
        <f>Model!I$7*(1+$C$5)*((Inputs!$B$29+$C$6*(1-Inputs!$B$39))*Model!I$6)-Model!I$7*Model!I$8-Model!I$7*$C$5*$C$7*Model!I$8</f>
        <v>840733.58877792314</v>
      </c>
      <c r="J34" s="15">
        <f>Model!J$7*(1+$C$5)*((Inputs!$B$29+$C$6*(1-Inputs!$B$39))*Model!J$6)-Model!J$7*Model!J$8-Model!J$7*$C$5*$C$7*Model!J$8</f>
        <v>865955.59644126135</v>
      </c>
      <c r="K34" s="15">
        <f>Model!K$7*(1+$C$5)*((Inputs!$B$29+$C$6*(1-Inputs!$B$39))*Model!K$6)-Model!K$7*Model!K$8-Model!K$7*$C$5*$C$7*Model!K$8</f>
        <v>891934.26433449902</v>
      </c>
      <c r="L34" s="15">
        <f>Model!L$7*(1+$C$5)*((Inputs!$B$29+$C$6*(1-Inputs!$B$39))*Model!L$6)-Model!L$7*Model!L$8-Model!L$7*$C$5*$C$7*Model!L$8</f>
        <v>918692.29226453381</v>
      </c>
      <c r="M34" s="15">
        <f>Model!M$7*(1+$C$5)*((Inputs!$B$29+$C$6*(1-Inputs!$B$39))*Model!M$6)-Model!M$7*Model!M$8-Model!M$7*$C$5*$C$7*Model!M$8</f>
        <v>946253.06103246997</v>
      </c>
    </row>
    <row r="35" spans="1:13" x14ac:dyDescent="0.2">
      <c r="A35" s="5" t="s">
        <v>172</v>
      </c>
      <c r="D35" s="15">
        <f>-Inputs!$B$11*D34-$C$8*Model!D$7*(1+$C$5)*((Inputs!$B$29+$C$6*(1-Inputs!$B$39))*Model!D$6)</f>
        <v>-466062.79968028207</v>
      </c>
      <c r="E35" s="15">
        <f>-Inputs!$B$11*E34-$C$8*Model!E$7*(1+$C$5)*((Inputs!$B$29+$C$6*(1-Inputs!$B$39))*Model!E$6)</f>
        <v>-480044.68367069052</v>
      </c>
      <c r="F35" s="15">
        <f>-Inputs!$B$11*F34-$C$8*Model!F$7*(1+$C$5)*((Inputs!$B$29+$C$6*(1-Inputs!$B$39))*Model!F$6)</f>
        <v>-494446.02418081119</v>
      </c>
      <c r="G35" s="15">
        <f>-Inputs!$B$11*G34-$C$8*Model!G$7*(1+$C$5)*((Inputs!$B$29+$C$6*(1-Inputs!$B$39))*Model!G$6)</f>
        <v>-509279.40490623564</v>
      </c>
      <c r="H35" s="15">
        <f>-Inputs!$B$11*H34-$C$8*Model!H$7*(1+$C$5)*((Inputs!$B$29+$C$6*(1-Inputs!$B$39))*Model!H$6)</f>
        <v>-524557.78705342265</v>
      </c>
      <c r="I35" s="15">
        <f>-Inputs!$B$11*I34-$C$8*Model!I$7*(1+$C$5)*((Inputs!$B$29+$C$6*(1-Inputs!$B$39))*Model!I$6)</f>
        <v>-540294.52066502511</v>
      </c>
      <c r="J35" s="15">
        <f>-Inputs!$B$11*J34-$C$8*Model!J$7*(1+$C$5)*((Inputs!$B$29+$C$6*(1-Inputs!$B$39))*Model!J$6)</f>
        <v>-556503.35628497624</v>
      </c>
      <c r="K35" s="15">
        <f>-Inputs!$B$11*K34-$C$8*Model!K$7*(1+$C$5)*((Inputs!$B$29+$C$6*(1-Inputs!$B$39))*Model!K$6)</f>
        <v>-573198.45697352546</v>
      </c>
      <c r="L35" s="15">
        <f>-Inputs!$B$11*L34-$C$8*Model!L$7*(1+$C$5)*((Inputs!$B$29+$C$6*(1-Inputs!$B$39))*Model!L$6)</f>
        <v>-590394.41068273108</v>
      </c>
      <c r="M35" s="15">
        <f>-Inputs!$B$11*M34-$C$8*Model!M$7*(1+$C$5)*((Inputs!$B$29+$C$6*(1-Inputs!$B$39))*Model!M$6)</f>
        <v>-608106.24300321308</v>
      </c>
    </row>
    <row r="36" spans="1:13" x14ac:dyDescent="0.2">
      <c r="A36" s="5" t="s">
        <v>173</v>
      </c>
      <c r="D36" s="15">
        <f>Model!D$7*$C$5*(1-$C$7)*Model!D$9*(1-Inputs!$B$12)</f>
        <v>188866.33922745148</v>
      </c>
      <c r="E36" s="15">
        <f>Model!E$7*$C$5*(1-$C$7)*Model!E$9*(1-Inputs!$B$12)</f>
        <v>194532.32940427502</v>
      </c>
      <c r="F36" s="15">
        <f>Model!F$7*$C$5*(1-$C$7)*Model!F$9*(1-Inputs!$B$12)</f>
        <v>200368.29928640326</v>
      </c>
      <c r="G36" s="15">
        <f>Model!G$7*$C$5*(1-$C$7)*Model!G$9*(1-Inputs!$B$12)</f>
        <v>206379.34826499538</v>
      </c>
      <c r="H36" s="15">
        <f>Model!H$7*$C$5*(1-$C$7)*Model!H$9*(1-Inputs!$B$12)</f>
        <v>212570.72871294525</v>
      </c>
      <c r="I36" s="15">
        <f>Model!I$7*$C$5*(1-$C$7)*Model!I$9*(1-Inputs!$B$12)</f>
        <v>218947.85057433357</v>
      </c>
      <c r="J36" s="15">
        <f>Model!J$7*$C$5*(1-$C$7)*Model!J$9*(1-Inputs!$B$12)</f>
        <v>225516.28609156361</v>
      </c>
      <c r="K36" s="15">
        <f>Model!K$7*$C$5*(1-$C$7)*Model!K$9*(1-Inputs!$B$12)</f>
        <v>232281.77467431049</v>
      </c>
      <c r="L36" s="15">
        <f>Model!L$7*$C$5*(1-$C$7)*Model!L$9*(1-Inputs!$B$12)</f>
        <v>239250.22791453978</v>
      </c>
      <c r="M36" s="15">
        <f>Model!M$7*$C$5*(1-$C$7)*Model!M$9*(1-Inputs!$B$12)</f>
        <v>246427.73475197601</v>
      </c>
    </row>
    <row r="37" spans="1:13" x14ac:dyDescent="0.2">
      <c r="A37" s="5" t="s">
        <v>145</v>
      </c>
      <c r="D37" s="15">
        <f>-Model!D$10</f>
        <v>-28208.162108544708</v>
      </c>
      <c r="E37" s="15">
        <f>-Model!E$10</f>
        <v>-29054.406971801051</v>
      </c>
      <c r="F37" s="15">
        <f>-Model!F$10</f>
        <v>-29926.039180955078</v>
      </c>
      <c r="G37" s="15">
        <f>-Model!G$10</f>
        <v>-30823.820356383734</v>
      </c>
      <c r="H37" s="15">
        <f>-Model!H$10</f>
        <v>-31748.534967075244</v>
      </c>
      <c r="I37" s="15">
        <f>-Model!I$10</f>
        <v>-32700.991016087497</v>
      </c>
      <c r="J37" s="15">
        <f>-Model!J$10</f>
        <v>-33682.020746570124</v>
      </c>
      <c r="K37" s="15">
        <f>-Model!K$10</f>
        <v>-34692.48136896723</v>
      </c>
      <c r="L37" s="15">
        <f>-Model!L$10</f>
        <v>-35733.255810036244</v>
      </c>
      <c r="M37" s="15">
        <f>-Model!M$10</f>
        <v>-36805.253484337329</v>
      </c>
    </row>
    <row r="38" spans="1:13" x14ac:dyDescent="0.2">
      <c r="A38" s="5" t="s">
        <v>146</v>
      </c>
      <c r="D38" s="15">
        <f t="shared" ref="D38:M38" si="3">SUM(D34:D37)</f>
        <v>419819.5564452848</v>
      </c>
      <c r="E38" s="15">
        <f t="shared" si="3"/>
        <v>432414.14313864335</v>
      </c>
      <c r="F38" s="15">
        <f t="shared" si="3"/>
        <v>445386.56743280269</v>
      </c>
      <c r="G38" s="15">
        <f t="shared" si="3"/>
        <v>458748.16445578687</v>
      </c>
      <c r="H38" s="15">
        <f t="shared" si="3"/>
        <v>472510.60938946041</v>
      </c>
      <c r="I38" s="15">
        <f t="shared" si="3"/>
        <v>486685.92767114413</v>
      </c>
      <c r="J38" s="15">
        <f t="shared" si="3"/>
        <v>501286.50550127862</v>
      </c>
      <c r="K38" s="15">
        <f t="shared" si="3"/>
        <v>516325.10066631681</v>
      </c>
      <c r="L38" s="15">
        <f t="shared" si="3"/>
        <v>531814.85368630628</v>
      </c>
      <c r="M38" s="15">
        <f t="shared" si="3"/>
        <v>547769.29929689551</v>
      </c>
    </row>
    <row r="39" spans="1:13" x14ac:dyDescent="0.2">
      <c r="A39" s="5" t="s">
        <v>148</v>
      </c>
      <c r="D39" s="15">
        <f>-Inputs!$B$49*(D38-IF(D$33&lt;=Inputs!$B$50,$C$10/Inputs!$B$50,0))</f>
        <v>0</v>
      </c>
      <c r="E39" s="15">
        <f>-Inputs!$B$49*(E38-IF(E$33&lt;=Inputs!$B$50,$C$10/Inputs!$B$50,0))</f>
        <v>0</v>
      </c>
      <c r="F39" s="15">
        <f>-Inputs!$B$49*(F38-IF(F$33&lt;=Inputs!$B$50,$C$10/Inputs!$B$50,0))</f>
        <v>0</v>
      </c>
      <c r="G39" s="15">
        <f>-Inputs!$B$49*(G38-IF(G$33&lt;=Inputs!$B$50,$C$10/Inputs!$B$50,0))</f>
        <v>0</v>
      </c>
      <c r="H39" s="15">
        <f>-Inputs!$B$49*(H38-IF(H$33&lt;=Inputs!$B$50,$C$10/Inputs!$B$50,0))</f>
        <v>0</v>
      </c>
      <c r="I39" s="15">
        <f>-Inputs!$B$49*(I38-IF(I$33&lt;=Inputs!$B$50,$C$10/Inputs!$B$50,0))</f>
        <v>0</v>
      </c>
      <c r="J39" s="15">
        <f>-Inputs!$B$49*(J38-IF(J$33&lt;=Inputs!$B$50,$C$10/Inputs!$B$50,0))</f>
        <v>0</v>
      </c>
      <c r="K39" s="15">
        <f>-Inputs!$B$49*(K38-IF(K$33&lt;=Inputs!$B$50,$C$10/Inputs!$B$50,0))</f>
        <v>0</v>
      </c>
      <c r="L39" s="15">
        <f>-Inputs!$B$49*(L38-IF(L$33&lt;=Inputs!$B$50,$C$10/Inputs!$B$50,0))</f>
        <v>0</v>
      </c>
      <c r="M39" s="15">
        <f>-Inputs!$B$49*(M38-IF(M$33&lt;=Inputs!$B$50,$C$10/Inputs!$B$50,0))</f>
        <v>0</v>
      </c>
    </row>
    <row r="40" spans="1:13" x14ac:dyDescent="0.2">
      <c r="A40" s="5" t="s">
        <v>174</v>
      </c>
      <c r="C40" s="15">
        <f>-$C$10-Inputs!$B$43/52*Model!$D$7*(Model!$D$8*(1-Inputs!$B$11)+Model!$D$9*(1-Inputs!$B$12))</f>
        <v>-1308423.0512455872</v>
      </c>
      <c r="D40" s="15">
        <f>IF(D$33=$M$33,Inputs!$B$51*$C$10,0)</f>
        <v>0</v>
      </c>
      <c r="E40" s="15">
        <f>IF(E$33=$M$33,Inputs!$B$51*$C$10,0)</f>
        <v>0</v>
      </c>
      <c r="F40" s="15">
        <f>IF(F$33=$M$33,Inputs!$B$51*$C$10,0)</f>
        <v>0</v>
      </c>
      <c r="G40" s="15">
        <f>IF(G$33=$M$33,Inputs!$B$51*$C$10,0)</f>
        <v>0</v>
      </c>
      <c r="H40" s="15">
        <f>IF(H$33=$M$33,Inputs!$B$51*$C$10,0)</f>
        <v>0</v>
      </c>
      <c r="I40" s="15">
        <f>IF(I$33=$M$33,Inputs!$B$51*$C$10,0)</f>
        <v>0</v>
      </c>
      <c r="J40" s="15">
        <f>IF(J$33=$M$33,Inputs!$B$51*$C$10,0)</f>
        <v>0</v>
      </c>
      <c r="K40" s="15">
        <f>IF(K$33=$M$33,Inputs!$B$51*$C$10,0)</f>
        <v>0</v>
      </c>
      <c r="L40" s="15">
        <f>IF(L$33=$M$33,Inputs!$B$51*$C$10,0)</f>
        <v>0</v>
      </c>
      <c r="M40" s="15">
        <f>IF(M$33=$M$33,Inputs!$B$51*$C$10,0)</f>
        <v>0</v>
      </c>
    </row>
    <row r="41" spans="1:13" x14ac:dyDescent="0.2">
      <c r="A41" s="3" t="s">
        <v>152</v>
      </c>
      <c r="C41" s="27">
        <f>C40</f>
        <v>-1308423.0512455872</v>
      </c>
      <c r="D41" s="27">
        <f t="shared" ref="D41:M41" si="4">D38+D39+D40</f>
        <v>419819.5564452848</v>
      </c>
      <c r="E41" s="27">
        <f t="shared" si="4"/>
        <v>432414.14313864335</v>
      </c>
      <c r="F41" s="27">
        <f t="shared" si="4"/>
        <v>445386.56743280269</v>
      </c>
      <c r="G41" s="27">
        <f t="shared" si="4"/>
        <v>458748.16445578687</v>
      </c>
      <c r="H41" s="27">
        <f t="shared" si="4"/>
        <v>472510.60938946041</v>
      </c>
      <c r="I41" s="27">
        <f t="shared" si="4"/>
        <v>486685.92767114413</v>
      </c>
      <c r="J41" s="27">
        <f t="shared" si="4"/>
        <v>501286.50550127862</v>
      </c>
      <c r="K41" s="27">
        <f t="shared" si="4"/>
        <v>516325.10066631681</v>
      </c>
      <c r="L41" s="27">
        <f t="shared" si="4"/>
        <v>531814.85368630628</v>
      </c>
      <c r="M41" s="27">
        <f t="shared" si="4"/>
        <v>547769.29929689551</v>
      </c>
    </row>
    <row r="42" spans="1:13" x14ac:dyDescent="0.2">
      <c r="A42" s="5" t="s">
        <v>153</v>
      </c>
      <c r="C42" s="15">
        <f>C41</f>
        <v>-1308423.0512455872</v>
      </c>
      <c r="D42" s="15">
        <f t="shared" ref="D42:M42" si="5">C42+D41</f>
        <v>-888603.49480030243</v>
      </c>
      <c r="E42" s="15">
        <f t="shared" si="5"/>
        <v>-456189.35166165908</v>
      </c>
      <c r="F42" s="15">
        <f t="shared" si="5"/>
        <v>-10802.784228856384</v>
      </c>
      <c r="G42" s="15">
        <f t="shared" si="5"/>
        <v>447945.38022693049</v>
      </c>
      <c r="H42" s="15">
        <f t="shared" si="5"/>
        <v>920455.9896163909</v>
      </c>
      <c r="I42" s="15">
        <f t="shared" si="5"/>
        <v>1407141.917287535</v>
      </c>
      <c r="J42" s="15">
        <f t="shared" si="5"/>
        <v>1908428.4227888137</v>
      </c>
      <c r="K42" s="15">
        <f t="shared" si="5"/>
        <v>2424753.5234551304</v>
      </c>
      <c r="L42" s="15">
        <f t="shared" si="5"/>
        <v>2956568.3771414366</v>
      </c>
      <c r="M42" s="15">
        <f t="shared" si="5"/>
        <v>3504337.6764383321</v>
      </c>
    </row>
    <row r="45" spans="1:13" x14ac:dyDescent="0.2">
      <c r="A45" s="23" t="s">
        <v>176</v>
      </c>
      <c r="B45" s="23" t="s">
        <v>124</v>
      </c>
      <c r="C45" s="40">
        <f>Model!C$4</f>
        <v>0</v>
      </c>
      <c r="D45" s="40">
        <f>Model!D$4</f>
        <v>1</v>
      </c>
      <c r="E45" s="40">
        <f>Model!E$4</f>
        <v>2</v>
      </c>
      <c r="F45" s="40">
        <f>Model!F$4</f>
        <v>3</v>
      </c>
      <c r="G45" s="40">
        <f>Model!G$4</f>
        <v>4</v>
      </c>
      <c r="H45" s="40">
        <f>Model!H$4</f>
        <v>5</v>
      </c>
      <c r="I45" s="40">
        <f>Model!I$4</f>
        <v>6</v>
      </c>
      <c r="J45" s="40">
        <f>Model!J$4</f>
        <v>7</v>
      </c>
      <c r="K45" s="40">
        <f>Model!K$4</f>
        <v>8</v>
      </c>
      <c r="L45" s="40">
        <f>Model!L$4</f>
        <v>9</v>
      </c>
      <c r="M45" s="40">
        <f>Model!M$4</f>
        <v>10</v>
      </c>
    </row>
    <row r="46" spans="1:13" x14ac:dyDescent="0.2">
      <c r="A46" s="5" t="s">
        <v>140</v>
      </c>
      <c r="D46" s="15">
        <f>Model!D$7*(1+$D$5)*((Inputs!$B$29+$D$6*(1-Inputs!$B$39))*Model!D$6)-Model!D$7*Model!D$8-Model!D$7*$D$5*$D$7*Model!D$8</f>
        <v>184905.43520617817</v>
      </c>
      <c r="E46" s="15">
        <f>Model!E$7*(1+$D$5)*((Inputs!$B$29+$D$6*(1-Inputs!$B$39))*Model!E$6)-Model!E$7*Model!E$8-Model!E$7*$D$5*$D$7*Model!E$8</f>
        <v>190452.59826236361</v>
      </c>
      <c r="F46" s="15">
        <f>Model!F$7*(1+$D$5)*((Inputs!$B$29+$D$6*(1-Inputs!$B$39))*Model!F$6)-Model!F$7*Model!F$8-Model!F$7*$D$5*$D$7*Model!F$8</f>
        <v>196166.17621023464</v>
      </c>
      <c r="G46" s="15">
        <f>Model!G$7*(1+$D$5)*((Inputs!$B$29+$D$6*(1-Inputs!$B$39))*Model!G$6)-Model!G$7*Model!G$8-Model!G$7*$D$5*$D$7*Model!G$8</f>
        <v>202051.16149654161</v>
      </c>
      <c r="H46" s="15">
        <f>Model!H$7*(1+$D$5)*((Inputs!$B$29+$D$6*(1-Inputs!$B$39))*Model!H$6)-Model!H$7*Model!H$8-Model!H$7*$D$5*$D$7*Model!H$8</f>
        <v>208112.69634143778</v>
      </c>
      <c r="I46" s="15">
        <f>Model!I$7*(1+$D$5)*((Inputs!$B$29+$D$6*(1-Inputs!$B$39))*Model!I$6)-Model!I$7*Model!I$8-Model!I$7*$D$5*$D$7*Model!I$8</f>
        <v>214356.0772316808</v>
      </c>
      <c r="J46" s="15">
        <f>Model!J$7*(1+$D$5)*((Inputs!$B$29+$D$6*(1-Inputs!$B$39))*Model!J$6)-Model!J$7*Model!J$8-Model!J$7*$D$5*$D$7*Model!J$8</f>
        <v>220786.75954863126</v>
      </c>
      <c r="K46" s="15">
        <f>Model!K$7*(1+$D$5)*((Inputs!$B$29+$D$6*(1-Inputs!$B$39))*Model!K$6)-Model!K$7*Model!K$8-Model!K$7*$D$5*$D$7*Model!K$8</f>
        <v>227410.36233509021</v>
      </c>
      <c r="L46" s="15">
        <f>Model!L$7*(1+$D$5)*((Inputs!$B$29+$D$6*(1-Inputs!$B$39))*Model!L$6)-Model!L$7*Model!L$8-Model!L$7*$D$5*$D$7*Model!L$8</f>
        <v>234232.6732051429</v>
      </c>
      <c r="M46" s="15">
        <f>Model!M$7*(1+$D$5)*((Inputs!$B$29+$D$6*(1-Inputs!$B$39))*Model!M$6)-Model!M$7*Model!M$8-Model!M$7*$D$5*$D$7*Model!M$8</f>
        <v>241259.65340129737</v>
      </c>
    </row>
    <row r="47" spans="1:13" x14ac:dyDescent="0.2">
      <c r="A47" s="5" t="s">
        <v>172</v>
      </c>
      <c r="D47" s="15">
        <f>-Inputs!$B$11*D46-$D$8*Model!D$7*(1+$D$5)*((Inputs!$B$29+$D$6*(1-Inputs!$B$39))*Model!D$6)</f>
        <v>-190424.2858854591</v>
      </c>
      <c r="E47" s="15">
        <f>-Inputs!$B$11*E46-$D$8*Model!E$7*(1+$D$5)*((Inputs!$B$29+$D$6*(1-Inputs!$B$39))*Model!E$6)</f>
        <v>-196137.01446202293</v>
      </c>
      <c r="F47" s="15">
        <f>-Inputs!$B$11*F46-$D$8*Model!F$7*(1+$D$5)*((Inputs!$B$29+$D$6*(1-Inputs!$B$39))*Model!F$6)</f>
        <v>-202021.12489588369</v>
      </c>
      <c r="G47" s="15">
        <f>-Inputs!$B$11*G46-$D$8*Model!G$7*(1+$D$5)*((Inputs!$B$29+$D$6*(1-Inputs!$B$39))*Model!G$6)</f>
        <v>-208081.75864276016</v>
      </c>
      <c r="H47" s="15">
        <f>-Inputs!$B$11*H46-$D$8*Model!H$7*(1+$D$5)*((Inputs!$B$29+$D$6*(1-Inputs!$B$39))*Model!H$6)</f>
        <v>-214324.21140204291</v>
      </c>
      <c r="I47" s="15">
        <f>-Inputs!$B$11*I46-$D$8*Model!I$7*(1+$D$5)*((Inputs!$B$29+$D$6*(1-Inputs!$B$39))*Model!I$6)</f>
        <v>-220753.93774410413</v>
      </c>
      <c r="J47" s="15">
        <f>-Inputs!$B$11*J46-$D$8*Model!J$7*(1+$D$5)*((Inputs!$B$29+$D$6*(1-Inputs!$B$39))*Model!J$6)</f>
        <v>-227376.55587642727</v>
      </c>
      <c r="K47" s="15">
        <f>-Inputs!$B$11*K46-$D$8*Model!K$7*(1+$D$5)*((Inputs!$B$29+$D$6*(1-Inputs!$B$39))*Model!K$6)</f>
        <v>-234197.85255272011</v>
      </c>
      <c r="L47" s="15">
        <f>-Inputs!$B$11*L46-$D$8*Model!L$7*(1+$D$5)*((Inputs!$B$29+$D$6*(1-Inputs!$B$39))*Model!L$6)</f>
        <v>-241223.78812930168</v>
      </c>
      <c r="M47" s="15">
        <f>-Inputs!$B$11*M46-$D$8*Model!M$7*(1+$D$5)*((Inputs!$B$29+$D$6*(1-Inputs!$B$39))*Model!M$6)</f>
        <v>-248460.50177318085</v>
      </c>
    </row>
    <row r="48" spans="1:13" x14ac:dyDescent="0.2">
      <c r="A48" s="5" t="s">
        <v>173</v>
      </c>
      <c r="D48" s="15">
        <f>Model!D$7*$D$5*(1-$D$7)*Model!D$9*(1-Inputs!$B$12)</f>
        <v>33899.086528004111</v>
      </c>
      <c r="E48" s="15">
        <f>Model!E$7*$D$5*(1-$D$7)*Model!E$9*(1-Inputs!$B$12)</f>
        <v>34916.059123844228</v>
      </c>
      <c r="F48" s="15">
        <f>Model!F$7*$D$5*(1-$D$7)*Model!F$9*(1-Inputs!$B$12)</f>
        <v>35963.540897559556</v>
      </c>
      <c r="G48" s="15">
        <f>Model!G$7*$D$5*(1-$D$7)*Model!G$9*(1-Inputs!$B$12)</f>
        <v>37042.447124486345</v>
      </c>
      <c r="H48" s="15">
        <f>Model!H$7*$D$5*(1-$D$7)*Model!H$9*(1-Inputs!$B$12)</f>
        <v>38153.720538220929</v>
      </c>
      <c r="I48" s="15">
        <f>Model!I$7*$D$5*(1-$D$7)*Model!I$9*(1-Inputs!$B$12)</f>
        <v>39298.332154367556</v>
      </c>
      <c r="J48" s="15">
        <f>Model!J$7*$D$5*(1-$D$7)*Model!J$9*(1-Inputs!$B$12)</f>
        <v>40477.282118998592</v>
      </c>
      <c r="K48" s="15">
        <f>Model!K$7*$D$5*(1-$D$7)*Model!K$9*(1-Inputs!$B$12)</f>
        <v>41691.600582568542</v>
      </c>
      <c r="L48" s="15">
        <f>Model!L$7*$D$5*(1-$D$7)*Model!L$9*(1-Inputs!$B$12)</f>
        <v>42942.348600045603</v>
      </c>
      <c r="M48" s="15">
        <f>Model!M$7*$D$5*(1-$D$7)*Model!M$9*(1-Inputs!$B$12)</f>
        <v>44230.61905804697</v>
      </c>
    </row>
    <row r="49" spans="1:13" x14ac:dyDescent="0.2">
      <c r="A49" s="5" t="s">
        <v>145</v>
      </c>
      <c r="D49" s="15">
        <f>-Model!D$10</f>
        <v>-28208.162108544708</v>
      </c>
      <c r="E49" s="15">
        <f>-Model!E$10</f>
        <v>-29054.406971801051</v>
      </c>
      <c r="F49" s="15">
        <f>-Model!F$10</f>
        <v>-29926.039180955078</v>
      </c>
      <c r="G49" s="15">
        <f>-Model!G$10</f>
        <v>-30823.820356383734</v>
      </c>
      <c r="H49" s="15">
        <f>-Model!H$10</f>
        <v>-31748.534967075244</v>
      </c>
      <c r="I49" s="15">
        <f>-Model!I$10</f>
        <v>-32700.991016087497</v>
      </c>
      <c r="J49" s="15">
        <f>-Model!J$10</f>
        <v>-33682.020746570124</v>
      </c>
      <c r="K49" s="15">
        <f>-Model!K$10</f>
        <v>-34692.48136896723</v>
      </c>
      <c r="L49" s="15">
        <f>-Model!L$10</f>
        <v>-35733.255810036244</v>
      </c>
      <c r="M49" s="15">
        <f>-Model!M$10</f>
        <v>-36805.253484337329</v>
      </c>
    </row>
    <row r="50" spans="1:13" x14ac:dyDescent="0.2">
      <c r="A50" s="5" t="s">
        <v>146</v>
      </c>
      <c r="D50" s="15">
        <f t="shared" ref="D50:M50" si="6">SUM(D46:D49)</f>
        <v>172.07374017846814</v>
      </c>
      <c r="E50" s="15">
        <f t="shared" si="6"/>
        <v>177.23595238386042</v>
      </c>
      <c r="F50" s="15">
        <f t="shared" si="6"/>
        <v>182.55303095542331</v>
      </c>
      <c r="G50" s="15">
        <f t="shared" si="6"/>
        <v>188.02962188405581</v>
      </c>
      <c r="H50" s="15">
        <f t="shared" si="6"/>
        <v>193.67051054055264</v>
      </c>
      <c r="I50" s="15">
        <f t="shared" si="6"/>
        <v>199.4806258567296</v>
      </c>
      <c r="J50" s="15">
        <f t="shared" si="6"/>
        <v>205.46504463245947</v>
      </c>
      <c r="K50" s="15">
        <f t="shared" si="6"/>
        <v>211.62899597140495</v>
      </c>
      <c r="L50" s="15">
        <f t="shared" si="6"/>
        <v>217.97786585057474</v>
      </c>
      <c r="M50" s="15">
        <f t="shared" si="6"/>
        <v>224.51720182616555</v>
      </c>
    </row>
    <row r="51" spans="1:13" x14ac:dyDescent="0.2">
      <c r="A51" s="5" t="s">
        <v>148</v>
      </c>
      <c r="D51" s="15">
        <f>-Inputs!$B$49*(D50-IF(D$45&lt;=Inputs!$B$50,$D$10/Inputs!$B$50,0))</f>
        <v>0</v>
      </c>
      <c r="E51" s="15">
        <f>-Inputs!$B$49*(E50-IF(E$45&lt;=Inputs!$B$50,$D$10/Inputs!$B$50,0))</f>
        <v>0</v>
      </c>
      <c r="F51" s="15">
        <f>-Inputs!$B$49*(F50-IF(F$45&lt;=Inputs!$B$50,$D$10/Inputs!$B$50,0))</f>
        <v>0</v>
      </c>
      <c r="G51" s="15">
        <f>-Inputs!$B$49*(G50-IF(G$45&lt;=Inputs!$B$50,$D$10/Inputs!$B$50,0))</f>
        <v>0</v>
      </c>
      <c r="H51" s="15">
        <f>-Inputs!$B$49*(H50-IF(H$45&lt;=Inputs!$B$50,$D$10/Inputs!$B$50,0))</f>
        <v>0</v>
      </c>
      <c r="I51" s="15">
        <f>-Inputs!$B$49*(I50-IF(I$45&lt;=Inputs!$B$50,$D$10/Inputs!$B$50,0))</f>
        <v>0</v>
      </c>
      <c r="J51" s="15">
        <f>-Inputs!$B$49*(J50-IF(J$45&lt;=Inputs!$B$50,$D$10/Inputs!$B$50,0))</f>
        <v>0</v>
      </c>
      <c r="K51" s="15">
        <f>-Inputs!$B$49*(K50-IF(K$45&lt;=Inputs!$B$50,$D$10/Inputs!$B$50,0))</f>
        <v>0</v>
      </c>
      <c r="L51" s="15">
        <f>-Inputs!$B$49*(L50-IF(L$45&lt;=Inputs!$B$50,$D$10/Inputs!$B$50,0))</f>
        <v>0</v>
      </c>
      <c r="M51" s="15">
        <f>-Inputs!$B$49*(M50-IF(M$45&lt;=Inputs!$B$50,$D$10/Inputs!$B$50,0))</f>
        <v>0</v>
      </c>
    </row>
    <row r="52" spans="1:13" x14ac:dyDescent="0.2">
      <c r="A52" s="5" t="s">
        <v>174</v>
      </c>
      <c r="C52" s="15">
        <f>-$D$10-Inputs!$B$43/52*Model!$D$7*(Model!$D$8*(1-Inputs!$B$11)+Model!$D$9*(1-Inputs!$B$12))</f>
        <v>-1795363.0512455872</v>
      </c>
      <c r="D52" s="15">
        <f>IF(D$45=$M$45,Inputs!$B$51*$D$10,0)</f>
        <v>0</v>
      </c>
      <c r="E52" s="15">
        <f>IF(E$45=$M$45,Inputs!$B$51*$D$10,0)</f>
        <v>0</v>
      </c>
      <c r="F52" s="15">
        <f>IF(F$45=$M$45,Inputs!$B$51*$D$10,0)</f>
        <v>0</v>
      </c>
      <c r="G52" s="15">
        <f>IF(G$45=$M$45,Inputs!$B$51*$D$10,0)</f>
        <v>0</v>
      </c>
      <c r="H52" s="15">
        <f>IF(H$45=$M$45,Inputs!$B$51*$D$10,0)</f>
        <v>0</v>
      </c>
      <c r="I52" s="15">
        <f>IF(I$45=$M$45,Inputs!$B$51*$D$10,0)</f>
        <v>0</v>
      </c>
      <c r="J52" s="15">
        <f>IF(J$45=$M$45,Inputs!$B$51*$D$10,0)</f>
        <v>0</v>
      </c>
      <c r="K52" s="15">
        <f>IF(K$45=$M$45,Inputs!$B$51*$D$10,0)</f>
        <v>0</v>
      </c>
      <c r="L52" s="15">
        <f>IF(L$45=$M$45,Inputs!$B$51*$D$10,0)</f>
        <v>0</v>
      </c>
      <c r="M52" s="15">
        <f>IF(M$45=$M$45,Inputs!$B$51*$D$10,0)</f>
        <v>0</v>
      </c>
    </row>
    <row r="53" spans="1:13" x14ac:dyDescent="0.2">
      <c r="A53" s="3" t="s">
        <v>152</v>
      </c>
      <c r="C53" s="27">
        <f>C52</f>
        <v>-1795363.0512455872</v>
      </c>
      <c r="D53" s="27">
        <f t="shared" ref="D53:M53" si="7">D50+D51+D52</f>
        <v>172.07374017846814</v>
      </c>
      <c r="E53" s="27">
        <f t="shared" si="7"/>
        <v>177.23595238386042</v>
      </c>
      <c r="F53" s="27">
        <f t="shared" si="7"/>
        <v>182.55303095542331</v>
      </c>
      <c r="G53" s="27">
        <f t="shared" si="7"/>
        <v>188.02962188405581</v>
      </c>
      <c r="H53" s="27">
        <f t="shared" si="7"/>
        <v>193.67051054055264</v>
      </c>
      <c r="I53" s="27">
        <f t="shared" si="7"/>
        <v>199.4806258567296</v>
      </c>
      <c r="J53" s="27">
        <f t="shared" si="7"/>
        <v>205.46504463245947</v>
      </c>
      <c r="K53" s="27">
        <f t="shared" si="7"/>
        <v>211.62899597140495</v>
      </c>
      <c r="L53" s="27">
        <f t="shared" si="7"/>
        <v>217.97786585057474</v>
      </c>
      <c r="M53" s="27">
        <f t="shared" si="7"/>
        <v>224.51720182616555</v>
      </c>
    </row>
    <row r="54" spans="1:13" x14ac:dyDescent="0.2">
      <c r="A54" s="5" t="s">
        <v>153</v>
      </c>
      <c r="C54" s="15">
        <f>C53</f>
        <v>-1795363.0512455872</v>
      </c>
      <c r="D54" s="15">
        <f t="shared" ref="D54:M54" si="8">C54+D53</f>
        <v>-1795190.9775054087</v>
      </c>
      <c r="E54" s="15">
        <f t="shared" si="8"/>
        <v>-1795013.7415530249</v>
      </c>
      <c r="F54" s="15">
        <f t="shared" si="8"/>
        <v>-1794831.1885220695</v>
      </c>
      <c r="G54" s="15">
        <f t="shared" si="8"/>
        <v>-1794643.1589001855</v>
      </c>
      <c r="H54" s="15">
        <f t="shared" si="8"/>
        <v>-1794449.488389645</v>
      </c>
      <c r="I54" s="15">
        <f t="shared" si="8"/>
        <v>-1794250.0077637883</v>
      </c>
      <c r="J54" s="15">
        <f t="shared" si="8"/>
        <v>-1794044.5427191558</v>
      </c>
      <c r="K54" s="15">
        <f t="shared" si="8"/>
        <v>-1793832.9137231843</v>
      </c>
      <c r="L54" s="15">
        <f t="shared" si="8"/>
        <v>-1793614.9358573337</v>
      </c>
      <c r="M54" s="15">
        <f t="shared" si="8"/>
        <v>-1793390.4186555075</v>
      </c>
    </row>
  </sheetData>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21"/>
  <sheetViews>
    <sheetView showGridLines="0" workbookViewId="0"/>
  </sheetViews>
  <sheetFormatPr baseColWidth="10" defaultColWidth="8.83203125" defaultRowHeight="15" x14ac:dyDescent="0.2"/>
  <cols>
    <col min="1" max="1" width="40" customWidth="1"/>
    <col min="2" max="2" width="20" customWidth="1"/>
    <col min="3" max="7" width="15" customWidth="1"/>
  </cols>
  <sheetData>
    <row r="1" spans="1:7" ht="18" x14ac:dyDescent="0.2">
      <c r="A1" s="1" t="s">
        <v>177</v>
      </c>
    </row>
    <row r="2" spans="1:7" x14ac:dyDescent="0.2">
      <c r="A2" s="2" t="s">
        <v>178</v>
      </c>
    </row>
    <row r="4" spans="1:7" x14ac:dyDescent="0.2">
      <c r="B4" s="3" t="s">
        <v>179</v>
      </c>
      <c r="C4" s="41">
        <f>Inputs!$B$57+(0-2)*Inputs!$B$66</f>
        <v>3.5</v>
      </c>
      <c r="D4" s="41">
        <f>Inputs!$B$57+(1-2)*Inputs!$B$66</f>
        <v>4.25</v>
      </c>
      <c r="E4" s="41">
        <f>Inputs!$B$57+(2-2)*Inputs!$B$66</f>
        <v>5</v>
      </c>
      <c r="F4" s="41">
        <f>Inputs!$B$57+(3-2)*Inputs!$B$66</f>
        <v>5.75</v>
      </c>
      <c r="G4" s="41">
        <f>Inputs!$B$57+(4-2)*Inputs!$B$66</f>
        <v>6.5</v>
      </c>
    </row>
    <row r="5" spans="1:7" x14ac:dyDescent="0.2">
      <c r="B5" s="3" t="s">
        <v>180</v>
      </c>
      <c r="C5" s="13">
        <f>Inputs!$B$29+C4</f>
        <v>16.284802002438866</v>
      </c>
      <c r="D5" s="13">
        <f>Inputs!$B$29+D4</f>
        <v>17.034802002438866</v>
      </c>
      <c r="E5" s="13">
        <f>Inputs!$B$29+E4</f>
        <v>17.784802002438866</v>
      </c>
      <c r="F5" s="13">
        <f>Inputs!$B$29+F4</f>
        <v>18.534802002438866</v>
      </c>
      <c r="G5" s="13">
        <f>Inputs!$B$29+G4</f>
        <v>19.284802002438866</v>
      </c>
    </row>
    <row r="6" spans="1:7" x14ac:dyDescent="0.2">
      <c r="A6" s="3" t="s">
        <v>163</v>
      </c>
      <c r="B6" s="42">
        <f>Inputs!$B$56+(0-2)*Inputs!$B$65</f>
        <v>0.5</v>
      </c>
      <c r="C6" s="15">
        <f>-Inputs!$B$61-Inputs!$B$43/52*Model!$D$7*(Model!$D$8*(1-Inputs!$B$11)+Model!$D$9*(1-Inputs!$B$12))+SUMPRODUCT(Model!$D$5:$M$5,(1-Inputs!$B$49)*(Model!$D$7:$M$7*(1+$B6)*(Model!$D$8:$M$8+C$4*(1-Inputs!$B$39)*Model!$D$6:$M$6)*(1-Inputs!$B$11-Inputs!$B$59)-Model!$D$7:$M$7*Model!$D$8:$M$8*(1+$B6*Inputs!$B$58)*(1-Inputs!$B$11)+Model!$D$7:$M$7*$B6*(1-Inputs!$B$58)*Model!$D$9:$M$9*(1-Inputs!$B$12)-Model!$D$10:$M$10)+Inputs!$B$49*Inputs!$B$61/Inputs!$B$50*(Model!$D$4:$M$4&lt;=Inputs!$B$50))+Inputs!$B$51*Inputs!$B$61*Model!$M$5</f>
        <v>-1038250.1705064923</v>
      </c>
      <c r="D6" s="15">
        <f>-Inputs!$B$61-Inputs!$B$43/52*Model!$D$7*(Model!$D$8*(1-Inputs!$B$11)+Model!$D$9*(1-Inputs!$B$12))+SUMPRODUCT(Model!$D$5:$M$5,(1-Inputs!$B$49)*(Model!$D$7:$M$7*(1+$B6)*(Model!$D$8:$M$8+D$4*(1-Inputs!$B$39)*Model!$D$6:$M$6)*(1-Inputs!$B$11-Inputs!$B$59)-Model!$D$7:$M$7*Model!$D$8:$M$8*(1+$B6*Inputs!$B$58)*(1-Inputs!$B$11)+Model!$D$7:$M$7*$B6*(1-Inputs!$B$58)*Model!$D$9:$M$9*(1-Inputs!$B$12)-Model!$D$10:$M$10)+Inputs!$B$49*Inputs!$B$61/Inputs!$B$50*(Model!$D$4:$M$4&lt;=Inputs!$B$50))+Inputs!$B$51*Inputs!$B$61*Model!$M$5</f>
        <v>-966145.05418281816</v>
      </c>
      <c r="E6" s="15">
        <f>-Inputs!$B$61-Inputs!$B$43/52*Model!$D$7*(Model!$D$8*(1-Inputs!$B$11)+Model!$D$9*(1-Inputs!$B$12))+SUMPRODUCT(Model!$D$5:$M$5,(1-Inputs!$B$49)*(Model!$D$7:$M$7*(1+$B6)*(Model!$D$8:$M$8+E$4*(1-Inputs!$B$39)*Model!$D$6:$M$6)*(1-Inputs!$B$11-Inputs!$B$59)-Model!$D$7:$M$7*Model!$D$8:$M$8*(1+$B6*Inputs!$B$58)*(1-Inputs!$B$11)+Model!$D$7:$M$7*$B6*(1-Inputs!$B$58)*Model!$D$9:$M$9*(1-Inputs!$B$12)-Model!$D$10:$M$10)+Inputs!$B$49*Inputs!$B$61/Inputs!$B$50*(Model!$D$4:$M$4&lt;=Inputs!$B$50))+Inputs!$B$51*Inputs!$B$61*Model!$M$5</f>
        <v>-894039.93785914395</v>
      </c>
      <c r="F6" s="15">
        <f>-Inputs!$B$61-Inputs!$B$43/52*Model!$D$7*(Model!$D$8*(1-Inputs!$B$11)+Model!$D$9*(1-Inputs!$B$12))+SUMPRODUCT(Model!$D$5:$M$5,(1-Inputs!$B$49)*(Model!$D$7:$M$7*(1+$B6)*(Model!$D$8:$M$8+F$4*(1-Inputs!$B$39)*Model!$D$6:$M$6)*(1-Inputs!$B$11-Inputs!$B$59)-Model!$D$7:$M$7*Model!$D$8:$M$8*(1+$B6*Inputs!$B$58)*(1-Inputs!$B$11)+Model!$D$7:$M$7*$B6*(1-Inputs!$B$58)*Model!$D$9:$M$9*(1-Inputs!$B$12)-Model!$D$10:$M$10)+Inputs!$B$49*Inputs!$B$61/Inputs!$B$50*(Model!$D$4:$M$4&lt;=Inputs!$B$50))+Inputs!$B$51*Inputs!$B$61*Model!$M$5</f>
        <v>-821934.82153546973</v>
      </c>
      <c r="G6" s="15">
        <f>-Inputs!$B$61-Inputs!$B$43/52*Model!$D$7*(Model!$D$8*(1-Inputs!$B$11)+Model!$D$9*(1-Inputs!$B$12))+SUMPRODUCT(Model!$D$5:$M$5,(1-Inputs!$B$49)*(Model!$D$7:$M$7*(1+$B6)*(Model!$D$8:$M$8+G$4*(1-Inputs!$B$39)*Model!$D$6:$M$6)*(1-Inputs!$B$11-Inputs!$B$59)-Model!$D$7:$M$7*Model!$D$8:$M$8*(1+$B6*Inputs!$B$58)*(1-Inputs!$B$11)+Model!$D$7:$M$7*$B6*(1-Inputs!$B$58)*Model!$D$9:$M$9*(1-Inputs!$B$12)-Model!$D$10:$M$10)+Inputs!$B$49*Inputs!$B$61/Inputs!$B$50*(Model!$D$4:$M$4&lt;=Inputs!$B$50))+Inputs!$B$51*Inputs!$B$61*Model!$M$5</f>
        <v>-749829.70521179587</v>
      </c>
    </row>
    <row r="7" spans="1:7" x14ac:dyDescent="0.2">
      <c r="B7" s="42">
        <f>Inputs!$B$56+(1-2)*Inputs!$B$65</f>
        <v>0.75</v>
      </c>
      <c r="C7" s="15">
        <f>-Inputs!$B$61-Inputs!$B$43/52*Model!$D$7*(Model!$D$8*(1-Inputs!$B$11)+Model!$D$9*(1-Inputs!$B$12))+SUMPRODUCT(Model!$D$5:$M$5,(1-Inputs!$B$49)*(Model!$D$7:$M$7*(1+$B7)*(Model!$D$8:$M$8+C$4*(1-Inputs!$B$39)*Model!$D$6:$M$6)*(1-Inputs!$B$11-Inputs!$B$59)-Model!$D$7:$M$7*Model!$D$8:$M$8*(1+$B7*Inputs!$B$58)*(1-Inputs!$B$11)+Model!$D$7:$M$7*$B7*(1-Inputs!$B$58)*Model!$D$9:$M$9*(1-Inputs!$B$12)-Model!$D$10:$M$10)+Inputs!$B$49*Inputs!$B$61/Inputs!$B$50*(Model!$D$4:$M$4&lt;=Inputs!$B$50))+Inputs!$B$51*Inputs!$B$61*Model!$M$5</f>
        <v>-722217.51765543944</v>
      </c>
      <c r="D7" s="15">
        <f>-Inputs!$B$61-Inputs!$B$43/52*Model!$D$7*(Model!$D$8*(1-Inputs!$B$11)+Model!$D$9*(1-Inputs!$B$12))+SUMPRODUCT(Model!$D$5:$M$5,(1-Inputs!$B$49)*(Model!$D$7:$M$7*(1+$B7)*(Model!$D$8:$M$8+D$4*(1-Inputs!$B$39)*Model!$D$6:$M$6)*(1-Inputs!$B$11-Inputs!$B$59)-Model!$D$7:$M$7*Model!$D$8:$M$8*(1+$B7*Inputs!$B$58)*(1-Inputs!$B$11)+Model!$D$7:$M$7*$B7*(1-Inputs!$B$58)*Model!$D$9:$M$9*(1-Inputs!$B$12)-Model!$D$10:$M$10)+Inputs!$B$49*Inputs!$B$61/Inputs!$B$50*(Model!$D$4:$M$4&lt;=Inputs!$B$50))+Inputs!$B$51*Inputs!$B$61*Model!$M$5</f>
        <v>-638094.88194448629</v>
      </c>
      <c r="E7" s="15">
        <f>-Inputs!$B$61-Inputs!$B$43/52*Model!$D$7*(Model!$D$8*(1-Inputs!$B$11)+Model!$D$9*(1-Inputs!$B$12))+SUMPRODUCT(Model!$D$5:$M$5,(1-Inputs!$B$49)*(Model!$D$7:$M$7*(1+$B7)*(Model!$D$8:$M$8+E$4*(1-Inputs!$B$39)*Model!$D$6:$M$6)*(1-Inputs!$B$11-Inputs!$B$59)-Model!$D$7:$M$7*Model!$D$8:$M$8*(1+$B7*Inputs!$B$58)*(1-Inputs!$B$11)+Model!$D$7:$M$7*$B7*(1-Inputs!$B$58)*Model!$D$9:$M$9*(1-Inputs!$B$12)-Model!$D$10:$M$10)+Inputs!$B$49*Inputs!$B$61/Inputs!$B$50*(Model!$D$4:$M$4&lt;=Inputs!$B$50))+Inputs!$B$51*Inputs!$B$61*Model!$M$5</f>
        <v>-553972.2462335329</v>
      </c>
      <c r="F7" s="15">
        <f>-Inputs!$B$61-Inputs!$B$43/52*Model!$D$7*(Model!$D$8*(1-Inputs!$B$11)+Model!$D$9*(1-Inputs!$B$12))+SUMPRODUCT(Model!$D$5:$M$5,(1-Inputs!$B$49)*(Model!$D$7:$M$7*(1+$B7)*(Model!$D$8:$M$8+F$4*(1-Inputs!$B$39)*Model!$D$6:$M$6)*(1-Inputs!$B$11-Inputs!$B$59)-Model!$D$7:$M$7*Model!$D$8:$M$8*(1+$B7*Inputs!$B$58)*(1-Inputs!$B$11)+Model!$D$7:$M$7*$B7*(1-Inputs!$B$58)*Model!$D$9:$M$9*(1-Inputs!$B$12)-Model!$D$10:$M$10)+Inputs!$B$49*Inputs!$B$61/Inputs!$B$50*(Model!$D$4:$M$4&lt;=Inputs!$B$50))+Inputs!$B$51*Inputs!$B$61*Model!$M$5</f>
        <v>-469849.61052257987</v>
      </c>
      <c r="G7" s="15">
        <f>-Inputs!$B$61-Inputs!$B$43/52*Model!$D$7*(Model!$D$8*(1-Inputs!$B$11)+Model!$D$9*(1-Inputs!$B$12))+SUMPRODUCT(Model!$D$5:$M$5,(1-Inputs!$B$49)*(Model!$D$7:$M$7*(1+$B7)*(Model!$D$8:$M$8+G$4*(1-Inputs!$B$39)*Model!$D$6:$M$6)*(1-Inputs!$B$11-Inputs!$B$59)-Model!$D$7:$M$7*Model!$D$8:$M$8*(1+$B7*Inputs!$B$58)*(1-Inputs!$B$11)+Model!$D$7:$M$7*$B7*(1-Inputs!$B$58)*Model!$D$9:$M$9*(1-Inputs!$B$12)-Model!$D$10:$M$10)+Inputs!$B$49*Inputs!$B$61/Inputs!$B$50*(Model!$D$4:$M$4&lt;=Inputs!$B$50))+Inputs!$B$51*Inputs!$B$61*Model!$M$5</f>
        <v>-385726.97481162683</v>
      </c>
    </row>
    <row r="8" spans="1:7" x14ac:dyDescent="0.2">
      <c r="B8" s="42">
        <f>Inputs!$B$56+(2-2)*Inputs!$B$65</f>
        <v>1</v>
      </c>
      <c r="C8" s="15">
        <f>-Inputs!$B$61-Inputs!$B$43/52*Model!$D$7*(Model!$D$8*(1-Inputs!$B$11)+Model!$D$9*(1-Inputs!$B$12))+SUMPRODUCT(Model!$D$5:$M$5,(1-Inputs!$B$49)*(Model!$D$7:$M$7*(1+$B8)*(Model!$D$8:$M$8+C$4*(1-Inputs!$B$39)*Model!$D$6:$M$6)*(1-Inputs!$B$11-Inputs!$B$59)-Model!$D$7:$M$7*Model!$D$8:$M$8*(1+$B8*Inputs!$B$58)*(1-Inputs!$B$11)+Model!$D$7:$M$7*$B8*(1-Inputs!$B$58)*Model!$D$9:$M$9*(1-Inputs!$B$12)-Model!$D$10:$M$10)+Inputs!$B$49*Inputs!$B$61/Inputs!$B$50*(Model!$D$4:$M$4&lt;=Inputs!$B$50))+Inputs!$B$51*Inputs!$B$61*Model!$M$5</f>
        <v>-406184.86480438663</v>
      </c>
      <c r="D8" s="15">
        <f>-Inputs!$B$61-Inputs!$B$43/52*Model!$D$7*(Model!$D$8*(1-Inputs!$B$11)+Model!$D$9*(1-Inputs!$B$12))+SUMPRODUCT(Model!$D$5:$M$5,(1-Inputs!$B$49)*(Model!$D$7:$M$7*(1+$B8)*(Model!$D$8:$M$8+D$4*(1-Inputs!$B$39)*Model!$D$6:$M$6)*(1-Inputs!$B$11-Inputs!$B$59)-Model!$D$7:$M$7*Model!$D$8:$M$8*(1+$B8*Inputs!$B$58)*(1-Inputs!$B$11)+Model!$D$7:$M$7*$B8*(1-Inputs!$B$58)*Model!$D$9:$M$9*(1-Inputs!$B$12)-Model!$D$10:$M$10)+Inputs!$B$49*Inputs!$B$61/Inputs!$B$50*(Model!$D$4:$M$4&lt;=Inputs!$B$50))+Inputs!$B$51*Inputs!$B$61*Model!$M$5</f>
        <v>-310044.70970615465</v>
      </c>
      <c r="E8" s="15">
        <f>-Inputs!$B$61-Inputs!$B$43/52*Model!$D$7*(Model!$D$8*(1-Inputs!$B$11)+Model!$D$9*(1-Inputs!$B$12))+SUMPRODUCT(Model!$D$5:$M$5,(1-Inputs!$B$49)*(Model!$D$7:$M$7*(1+$B8)*(Model!$D$8:$M$8+E$4*(1-Inputs!$B$39)*Model!$D$6:$M$6)*(1-Inputs!$B$11-Inputs!$B$59)-Model!$D$7:$M$7*Model!$D$8:$M$8*(1+$B8*Inputs!$B$58)*(1-Inputs!$B$11)+Model!$D$7:$M$7*$B8*(1-Inputs!$B$58)*Model!$D$9:$M$9*(1-Inputs!$B$12)-Model!$D$10:$M$10)+Inputs!$B$49*Inputs!$B$61/Inputs!$B$50*(Model!$D$4:$M$4&lt;=Inputs!$B$50))+Inputs!$B$51*Inputs!$B$61*Model!$M$5</f>
        <v>-213904.55460792221</v>
      </c>
      <c r="F8" s="15">
        <f>-Inputs!$B$61-Inputs!$B$43/52*Model!$D$7*(Model!$D$8*(1-Inputs!$B$11)+Model!$D$9*(1-Inputs!$B$12))+SUMPRODUCT(Model!$D$5:$M$5,(1-Inputs!$B$49)*(Model!$D$7:$M$7*(1+$B8)*(Model!$D$8:$M$8+F$4*(1-Inputs!$B$39)*Model!$D$6:$M$6)*(1-Inputs!$B$11-Inputs!$B$59)-Model!$D$7:$M$7*Model!$D$8:$M$8*(1+$B8*Inputs!$B$58)*(1-Inputs!$B$11)+Model!$D$7:$M$7*$B8*(1-Inputs!$B$58)*Model!$D$9:$M$9*(1-Inputs!$B$12)-Model!$D$10:$M$10)+Inputs!$B$49*Inputs!$B$61/Inputs!$B$50*(Model!$D$4:$M$4&lt;=Inputs!$B$50))+Inputs!$B$51*Inputs!$B$61*Model!$M$5</f>
        <v>-117764.39950969</v>
      </c>
      <c r="G8" s="15">
        <f>-Inputs!$B$61-Inputs!$B$43/52*Model!$D$7*(Model!$D$8*(1-Inputs!$B$11)+Model!$D$9*(1-Inputs!$B$12))+SUMPRODUCT(Model!$D$5:$M$5,(1-Inputs!$B$49)*(Model!$D$7:$M$7*(1+$B8)*(Model!$D$8:$M$8+G$4*(1-Inputs!$B$39)*Model!$D$6:$M$6)*(1-Inputs!$B$11-Inputs!$B$59)-Model!$D$7:$M$7*Model!$D$8:$M$8*(1+$B8*Inputs!$B$58)*(1-Inputs!$B$11)+Model!$D$7:$M$7*$B8*(1-Inputs!$B$58)*Model!$D$9:$M$9*(1-Inputs!$B$12)-Model!$D$10:$M$10)+Inputs!$B$49*Inputs!$B$61/Inputs!$B$50*(Model!$D$4:$M$4&lt;=Inputs!$B$50))+Inputs!$B$51*Inputs!$B$61*Model!$M$5</f>
        <v>-21624.244411458028</v>
      </c>
    </row>
    <row r="9" spans="1:7" x14ac:dyDescent="0.2">
      <c r="B9" s="42">
        <f>Inputs!$B$56+(3-2)*Inputs!$B$65</f>
        <v>1.25</v>
      </c>
      <c r="C9" s="15">
        <f>-Inputs!$B$61-Inputs!$B$43/52*Model!$D$7*(Model!$D$8*(1-Inputs!$B$11)+Model!$D$9*(1-Inputs!$B$12))+SUMPRODUCT(Model!$D$5:$M$5,(1-Inputs!$B$49)*(Model!$D$7:$M$7*(1+$B9)*(Model!$D$8:$M$8+C$4*(1-Inputs!$B$39)*Model!$D$6:$M$6)*(1-Inputs!$B$11-Inputs!$B$59)-Model!$D$7:$M$7*Model!$D$8:$M$8*(1+$B9*Inputs!$B$58)*(1-Inputs!$B$11)+Model!$D$7:$M$7*$B9*(1-Inputs!$B$58)*Model!$D$9:$M$9*(1-Inputs!$B$12)-Model!$D$10:$M$10)+Inputs!$B$49*Inputs!$B$61/Inputs!$B$50*(Model!$D$4:$M$4&lt;=Inputs!$B$50))+Inputs!$B$51*Inputs!$B$61*Model!$M$5</f>
        <v>-90152.211953334045</v>
      </c>
      <c r="D9" s="15">
        <f>-Inputs!$B$61-Inputs!$B$43/52*Model!$D$7*(Model!$D$8*(1-Inputs!$B$11)+Model!$D$9*(1-Inputs!$B$12))+SUMPRODUCT(Model!$D$5:$M$5,(1-Inputs!$B$49)*(Model!$D$7:$M$7*(1+$B9)*(Model!$D$8:$M$8+D$4*(1-Inputs!$B$39)*Model!$D$6:$M$6)*(1-Inputs!$B$11-Inputs!$B$59)-Model!$D$7:$M$7*Model!$D$8:$M$8*(1+$B9*Inputs!$B$58)*(1-Inputs!$B$11)+Model!$D$7:$M$7*$B9*(1-Inputs!$B$58)*Model!$D$9:$M$9*(1-Inputs!$B$12)-Model!$D$10:$M$10)+Inputs!$B$49*Inputs!$B$61/Inputs!$B$50*(Model!$D$4:$M$4&lt;=Inputs!$B$50))+Inputs!$B$51*Inputs!$B$61*Model!$M$5</f>
        <v>18005.462532177567</v>
      </c>
      <c r="E9" s="15">
        <f>-Inputs!$B$61-Inputs!$B$43/52*Model!$D$7*(Model!$D$8*(1-Inputs!$B$11)+Model!$D$9*(1-Inputs!$B$12))+SUMPRODUCT(Model!$D$5:$M$5,(1-Inputs!$B$49)*(Model!$D$7:$M$7*(1+$B9)*(Model!$D$8:$M$8+E$4*(1-Inputs!$B$39)*Model!$D$6:$M$6)*(1-Inputs!$B$11-Inputs!$B$59)-Model!$D$7:$M$7*Model!$D$8:$M$8*(1+$B9*Inputs!$B$58)*(1-Inputs!$B$11)+Model!$D$7:$M$7*$B9*(1-Inputs!$B$58)*Model!$D$9:$M$9*(1-Inputs!$B$12)-Model!$D$10:$M$10)+Inputs!$B$49*Inputs!$B$61/Inputs!$B$50*(Model!$D$4:$M$4&lt;=Inputs!$B$50))+Inputs!$B$51*Inputs!$B$61*Model!$M$5</f>
        <v>126163.13701768848</v>
      </c>
      <c r="F9" s="15">
        <f>-Inputs!$B$61-Inputs!$B$43/52*Model!$D$7*(Model!$D$8*(1-Inputs!$B$11)+Model!$D$9*(1-Inputs!$B$12))+SUMPRODUCT(Model!$D$5:$M$5,(1-Inputs!$B$49)*(Model!$D$7:$M$7*(1+$B9)*(Model!$D$8:$M$8+F$4*(1-Inputs!$B$39)*Model!$D$6:$M$6)*(1-Inputs!$B$11-Inputs!$B$59)-Model!$D$7:$M$7*Model!$D$8:$M$8*(1+$B9*Inputs!$B$58)*(1-Inputs!$B$11)+Model!$D$7:$M$7*$B9*(1-Inputs!$B$58)*Model!$D$9:$M$9*(1-Inputs!$B$12)-Model!$D$10:$M$10)+Inputs!$B$49*Inputs!$B$61/Inputs!$B$50*(Model!$D$4:$M$4&lt;=Inputs!$B$50))+Inputs!$B$51*Inputs!$B$61*Model!$M$5</f>
        <v>234320.81150319986</v>
      </c>
      <c r="G9" s="15">
        <f>-Inputs!$B$61-Inputs!$B$43/52*Model!$D$7*(Model!$D$8*(1-Inputs!$B$11)+Model!$D$9*(1-Inputs!$B$12))+SUMPRODUCT(Model!$D$5:$M$5,(1-Inputs!$B$49)*(Model!$D$7:$M$7*(1+$B9)*(Model!$D$8:$M$8+G$4*(1-Inputs!$B$39)*Model!$D$6:$M$6)*(1-Inputs!$B$11-Inputs!$B$59)-Model!$D$7:$M$7*Model!$D$8:$M$8*(1+$B9*Inputs!$B$58)*(1-Inputs!$B$11)+Model!$D$7:$M$7*$B9*(1-Inputs!$B$58)*Model!$D$9:$M$9*(1-Inputs!$B$12)-Model!$D$10:$M$10)+Inputs!$B$49*Inputs!$B$61/Inputs!$B$50*(Model!$D$4:$M$4&lt;=Inputs!$B$50))+Inputs!$B$51*Inputs!$B$61*Model!$M$5</f>
        <v>342478.48598871101</v>
      </c>
    </row>
    <row r="10" spans="1:7" x14ac:dyDescent="0.2">
      <c r="B10" s="42">
        <f>Inputs!$B$56+(4-2)*Inputs!$B$65</f>
        <v>1.5</v>
      </c>
      <c r="C10" s="15">
        <f>-Inputs!$B$61-Inputs!$B$43/52*Model!$D$7*(Model!$D$8*(1-Inputs!$B$11)+Model!$D$9*(1-Inputs!$B$12))+SUMPRODUCT(Model!$D$5:$M$5,(1-Inputs!$B$49)*(Model!$D$7:$M$7*(1+$B10)*(Model!$D$8:$M$8+C$4*(1-Inputs!$B$39)*Model!$D$6:$M$6)*(1-Inputs!$B$11-Inputs!$B$59)-Model!$D$7:$M$7*Model!$D$8:$M$8*(1+$B10*Inputs!$B$58)*(1-Inputs!$B$11)+Model!$D$7:$M$7*$B10*(1-Inputs!$B$58)*Model!$D$9:$M$9*(1-Inputs!$B$12)-Model!$D$10:$M$10)+Inputs!$B$49*Inputs!$B$61/Inputs!$B$50*(Model!$D$4:$M$4&lt;=Inputs!$B$50))+Inputs!$B$51*Inputs!$B$61*Model!$M$5</f>
        <v>225880.44089771924</v>
      </c>
      <c r="D10" s="15">
        <f>-Inputs!$B$61-Inputs!$B$43/52*Model!$D$7*(Model!$D$8*(1-Inputs!$B$11)+Model!$D$9*(1-Inputs!$B$12))+SUMPRODUCT(Model!$D$5:$M$5,(1-Inputs!$B$49)*(Model!$D$7:$M$7*(1+$B10)*(Model!$D$8:$M$8+D$4*(1-Inputs!$B$39)*Model!$D$6:$M$6)*(1-Inputs!$B$11-Inputs!$B$59)-Model!$D$7:$M$7*Model!$D$8:$M$8*(1+$B10*Inputs!$B$58)*(1-Inputs!$B$11)+Model!$D$7:$M$7*$B10*(1-Inputs!$B$58)*Model!$D$9:$M$9*(1-Inputs!$B$12)-Model!$D$10:$M$10)+Inputs!$B$49*Inputs!$B$61/Inputs!$B$50*(Model!$D$4:$M$4&lt;=Inputs!$B$50))+Inputs!$B$51*Inputs!$B$61*Model!$M$5</f>
        <v>346055.63477050955</v>
      </c>
      <c r="E10" s="15">
        <f>-Inputs!$B$61-Inputs!$B$43/52*Model!$D$7*(Model!$D$8*(1-Inputs!$B$11)+Model!$D$9*(1-Inputs!$B$12))+SUMPRODUCT(Model!$D$5:$M$5,(1-Inputs!$B$49)*(Model!$D$7:$M$7*(1+$B10)*(Model!$D$8:$M$8+E$4*(1-Inputs!$B$39)*Model!$D$6:$M$6)*(1-Inputs!$B$11-Inputs!$B$59)-Model!$D$7:$M$7*Model!$D$8:$M$8*(1+$B10*Inputs!$B$58)*(1-Inputs!$B$11)+Model!$D$7:$M$7*$B10*(1-Inputs!$B$58)*Model!$D$9:$M$9*(1-Inputs!$B$12)-Model!$D$10:$M$10)+Inputs!$B$49*Inputs!$B$61/Inputs!$B$50*(Model!$D$4:$M$4&lt;=Inputs!$B$50))+Inputs!$B$51*Inputs!$B$61*Model!$M$5</f>
        <v>466230.82864329964</v>
      </c>
      <c r="F10" s="15">
        <f>-Inputs!$B$61-Inputs!$B$43/52*Model!$D$7*(Model!$D$8*(1-Inputs!$B$11)+Model!$D$9*(1-Inputs!$B$12))+SUMPRODUCT(Model!$D$5:$M$5,(1-Inputs!$B$49)*(Model!$D$7:$M$7*(1+$B10)*(Model!$D$8:$M$8+F$4*(1-Inputs!$B$39)*Model!$D$6:$M$6)*(1-Inputs!$B$11-Inputs!$B$59)-Model!$D$7:$M$7*Model!$D$8:$M$8*(1+$B10*Inputs!$B$58)*(1-Inputs!$B$11)+Model!$D$7:$M$7*$B10*(1-Inputs!$B$58)*Model!$D$9:$M$9*(1-Inputs!$B$12)-Model!$D$10:$M$10)+Inputs!$B$49*Inputs!$B$61/Inputs!$B$50*(Model!$D$4:$M$4&lt;=Inputs!$B$50))+Inputs!$B$51*Inputs!$B$61*Model!$M$5</f>
        <v>586406.02251608996</v>
      </c>
      <c r="G10" s="15">
        <f>-Inputs!$B$61-Inputs!$B$43/52*Model!$D$7*(Model!$D$8*(1-Inputs!$B$11)+Model!$D$9*(1-Inputs!$B$12))+SUMPRODUCT(Model!$D$5:$M$5,(1-Inputs!$B$49)*(Model!$D$7:$M$7*(1+$B10)*(Model!$D$8:$M$8+G$4*(1-Inputs!$B$39)*Model!$D$6:$M$6)*(1-Inputs!$B$11-Inputs!$B$59)-Model!$D$7:$M$7*Model!$D$8:$M$8*(1+$B10*Inputs!$B$58)*(1-Inputs!$B$11)+Model!$D$7:$M$7*$B10*(1-Inputs!$B$58)*Model!$D$9:$M$9*(1-Inputs!$B$12)-Model!$D$10:$M$10)+Inputs!$B$49*Inputs!$B$61/Inputs!$B$50*(Model!$D$4:$M$4&lt;=Inputs!$B$50))+Inputs!$B$51*Inputs!$B$61*Model!$M$5</f>
        <v>706581.21638887981</v>
      </c>
    </row>
    <row r="12" spans="1:7" x14ac:dyDescent="0.2">
      <c r="A12" s="5" t="s">
        <v>181</v>
      </c>
      <c r="B12" s="3" t="str">
        <f>IF(ABS(E8-Scenarios!B13)&lt;0.5,"OK","CHECK")</f>
        <v>OK</v>
      </c>
    </row>
    <row r="14" spans="1:7" x14ac:dyDescent="0.2">
      <c r="A14" s="3" t="s">
        <v>182</v>
      </c>
    </row>
    <row r="15" spans="1:7" x14ac:dyDescent="0.2">
      <c r="A15" s="5" t="s">
        <v>183</v>
      </c>
      <c r="B15" s="15">
        <f>-Inputs!$B$61-Inputs!$B$43/52*Model!$D$7*(Model!$D$8*(1-Inputs!$B$11)+Model!$D$9*(1-Inputs!$B$12))+SUMPRODUCT(Model!$D$5:$M$5,(1-Inputs!$B$49)*(Model!$D$7:$M$7*(1+0)*(Model!$D$8:$M$8+Inputs!$B$57*(1-Inputs!$B$39)*Model!$D$6:$M$6)*(1-Inputs!$B$11-Inputs!$B$59)-Model!$D$7:$M$7*Model!$D$8:$M$8*(1+0*Inputs!$B$58)*(1-Inputs!$B$11)+Model!$D$7:$M$7*0*(1-Inputs!$B$58)*Model!$D$9:$M$9*(1-Inputs!$B$12)-Model!$D$10:$M$10)+Inputs!$B$49*Inputs!$B$61/Inputs!$B$50*(Model!$D$4:$M$4&lt;=Inputs!$B$50))+Inputs!$B$51*Inputs!$B$61*Model!$M$5</f>
        <v>-1574175.3211103659</v>
      </c>
    </row>
    <row r="16" spans="1:7" x14ac:dyDescent="0.2">
      <c r="A16" s="5" t="s">
        <v>184</v>
      </c>
      <c r="B16" s="15">
        <f>-Inputs!$B$61-Inputs!$B$43/52*Model!$D$7*(Model!$D$8*(1-Inputs!$B$11)+Model!$D$9*(1-Inputs!$B$12))+SUMPRODUCT(Model!$D$5:$M$5,(1-Inputs!$B$49)*(Model!$D$7:$M$7*(1+1)*(Model!$D$8:$M$8+Inputs!$B$57*(1-Inputs!$B$39)*Model!$D$6:$M$6)*(1-Inputs!$B$11-Inputs!$B$59)-Model!$D$7:$M$7*Model!$D$8:$M$8*(1+1*Inputs!$B$58)*(1-Inputs!$B$11)+Model!$D$7:$M$7*1*(1-Inputs!$B$58)*Model!$D$9:$M$9*(1-Inputs!$B$12)-Model!$D$10:$M$10)+Inputs!$B$49*Inputs!$B$61/Inputs!$B$50*(Model!$D$4:$M$4&lt;=Inputs!$B$50))+Inputs!$B$51*Inputs!$B$61*Model!$M$5</f>
        <v>-213904.55460792221</v>
      </c>
    </row>
    <row r="17" spans="1:2" x14ac:dyDescent="0.2">
      <c r="A17" s="3" t="s">
        <v>185</v>
      </c>
      <c r="B17" s="32">
        <f>-B15/(B16-B15)</f>
        <v>1.1572514530749771</v>
      </c>
    </row>
    <row r="18" spans="1:2" x14ac:dyDescent="0.2">
      <c r="A18" s="5" t="s">
        <v>186</v>
      </c>
      <c r="B18" s="15">
        <f>-Inputs!$B$61-Inputs!$B$43/52*Model!$D$7*(Model!$D$8*(1-Inputs!$B$11)+Model!$D$9*(1-Inputs!$B$12))+SUMPRODUCT(Model!$D$5:$M$5,(1-Inputs!$B$49)*(Model!$D$7:$M$7*(1+Inputs!$B$56)*(Model!$D$8:$M$8+0*(1-Inputs!$B$39)*Model!$D$6:$M$6)*(1-Inputs!$B$11-Inputs!$B$59)-Model!$D$7:$M$7*Model!$D$8:$M$8*(1+Inputs!$B$56*Inputs!$B$58)*(1-Inputs!$B$11)+Model!$D$7:$M$7*Inputs!$B$56*(1-Inputs!$B$58)*Model!$D$9:$M$9*(1-Inputs!$B$12)-Model!$D$10:$M$10)+Inputs!$B$49*Inputs!$B$61/Inputs!$B$50*(Model!$D$4:$M$4&lt;=Inputs!$B$50))+Inputs!$B$51*Inputs!$B$61*Model!$M$5</f>
        <v>-854838.92192947026</v>
      </c>
    </row>
    <row r="19" spans="1:2" x14ac:dyDescent="0.2">
      <c r="A19" s="5" t="s">
        <v>187</v>
      </c>
      <c r="B19" s="15">
        <f>-Inputs!$B$61-Inputs!$B$43/52*Model!$D$7*(Model!$D$8*(1-Inputs!$B$11)+Model!$D$9*(1-Inputs!$B$12))+SUMPRODUCT(Model!$D$5:$M$5,(1-Inputs!$B$49)*(Model!$D$7:$M$7*(1+Inputs!$B$56)*(Model!$D$8:$M$8+1*(1-Inputs!$B$39)*Model!$D$6:$M$6)*(1-Inputs!$B$11-Inputs!$B$59)-Model!$D$7:$M$7*Model!$D$8:$M$8*(1+Inputs!$B$56*Inputs!$B$58)*(1-Inputs!$B$11)+Model!$D$7:$M$7*Inputs!$B$56*(1-Inputs!$B$58)*Model!$D$9:$M$9*(1-Inputs!$B$12)-Model!$D$10:$M$10)+Inputs!$B$49*Inputs!$B$61/Inputs!$B$50*(Model!$D$4:$M$4&lt;=Inputs!$B$50))+Inputs!$B$51*Inputs!$B$61*Model!$M$5</f>
        <v>-726652.04846516065</v>
      </c>
    </row>
    <row r="20" spans="1:2" x14ac:dyDescent="0.2">
      <c r="A20" s="3" t="s">
        <v>188</v>
      </c>
      <c r="B20" s="43">
        <f>-B18/(B19-B18)</f>
        <v>6.6686931261138724</v>
      </c>
    </row>
    <row r="21" spans="1:2" x14ac:dyDescent="0.2">
      <c r="A21" s="2" t="s">
        <v>189</v>
      </c>
    </row>
  </sheetData>
  <conditionalFormatting sqref="C6:G10">
    <cfRule type="colorScale" priority="1">
      <colorScale>
        <cfvo type="min"/>
        <cfvo type="num" val="0"/>
        <cfvo type="max"/>
        <color rgb="FFE66767"/>
        <color rgb="FFF0EFEC"/>
        <color rgb="FF5598E7"/>
      </colorScale>
    </cfRule>
  </conditionalFormatting>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23"/>
  <sheetViews>
    <sheetView showGridLines="0" workbookViewId="0"/>
  </sheetViews>
  <sheetFormatPr baseColWidth="10" defaultColWidth="8.83203125" defaultRowHeight="15" x14ac:dyDescent="0.2"/>
  <cols>
    <col min="1" max="1" width="46" customWidth="1"/>
    <col min="2" max="4" width="16" customWidth="1"/>
  </cols>
  <sheetData>
    <row r="1" spans="1:4" ht="18" x14ac:dyDescent="0.2">
      <c r="A1" s="1" t="s">
        <v>190</v>
      </c>
    </row>
    <row r="3" spans="1:4" x14ac:dyDescent="0.2">
      <c r="A3" s="3" t="s">
        <v>191</v>
      </c>
      <c r="B3" s="3" t="str">
        <f>IF(AND(Scenarios!B13&gt;0,Scenarios!C13&gt;0,Scenarios!D13&gt;0),"Convert: all three scenarios clear the discount rate.",IF(Scenarios!B13&gt;0,"Convert, with care: the base case clears the discount rate but the downside does not.",IF(Scenarios!C13&gt;0,"Convert selectively: only screens expected to beat the break-even attendance uplift below.","Do not convert: no scenario clears the discount rate.")))</f>
        <v>Convert selectively: only screens expected to beat the break-even attendance uplift below.</v>
      </c>
    </row>
    <row r="5" spans="1:4" x14ac:dyDescent="0.2">
      <c r="A5" s="6" t="s">
        <v>192</v>
      </c>
      <c r="B5" s="44" t="s">
        <v>101</v>
      </c>
      <c r="C5" s="44" t="s">
        <v>102</v>
      </c>
      <c r="D5" s="44" t="s">
        <v>103</v>
      </c>
    </row>
    <row r="6" spans="1:4" x14ac:dyDescent="0.2">
      <c r="A6" s="5" t="s">
        <v>155</v>
      </c>
      <c r="B6" s="45">
        <f>Scenarios!B13</f>
        <v>-213904.55460792259</v>
      </c>
      <c r="C6" s="45">
        <f>Scenarios!C13</f>
        <v>1647821.4505830901</v>
      </c>
      <c r="D6" s="45">
        <f>Scenarios!D13</f>
        <v>-1794151.3591257182</v>
      </c>
    </row>
    <row r="7" spans="1:4" x14ac:dyDescent="0.2">
      <c r="A7" s="5" t="s">
        <v>156</v>
      </c>
      <c r="B7" s="46">
        <f>Scenarios!B14</f>
        <v>6.1365527983241908E-2</v>
      </c>
      <c r="C7" s="46">
        <f>Scenarios!C14</f>
        <v>0.32500642972008431</v>
      </c>
      <c r="D7" s="46" t="str">
        <f>Scenarios!D14</f>
        <v>Not meaningful</v>
      </c>
    </row>
    <row r="8" spans="1:4" x14ac:dyDescent="0.2">
      <c r="A8" s="5" t="s">
        <v>157</v>
      </c>
      <c r="B8" s="47">
        <f>Scenarios!B15</f>
        <v>7.4880324711145541</v>
      </c>
      <c r="C8" s="47">
        <f>Scenarios!C15</f>
        <v>3.0235483977176711</v>
      </c>
      <c r="D8" s="47" t="str">
        <f>Scenarios!D15</f>
        <v>Not within 10 years</v>
      </c>
    </row>
    <row r="9" spans="1:4" x14ac:dyDescent="0.2">
      <c r="A9" s="5" t="s">
        <v>158</v>
      </c>
      <c r="B9" s="45">
        <f>Scenarios!B16</f>
        <v>560821.78927023581</v>
      </c>
      <c r="C9" s="45">
        <f>Scenarios!C16</f>
        <v>3504337.6764383321</v>
      </c>
      <c r="D9" s="45">
        <f>Scenarios!D16</f>
        <v>-1793390.4186555075</v>
      </c>
    </row>
    <row r="10" spans="1:4" x14ac:dyDescent="0.2">
      <c r="A10" s="5" t="s">
        <v>169</v>
      </c>
      <c r="B10" s="45">
        <f>Scenarios!B17</f>
        <v>175191.18094622355</v>
      </c>
      <c r="C10" s="45">
        <f>Scenarios!C17</f>
        <v>419819.5564452848</v>
      </c>
      <c r="D10" s="45">
        <f>Scenarios!D17</f>
        <v>172.07374017846814</v>
      </c>
    </row>
    <row r="11" spans="1:4" x14ac:dyDescent="0.2">
      <c r="A11" s="5" t="s">
        <v>149</v>
      </c>
      <c r="B11" s="45">
        <f>Scenarios!B10</f>
        <v>1391257.1428571427</v>
      </c>
      <c r="C11" s="45">
        <f>Scenarios!C10</f>
        <v>1252131.4285714284</v>
      </c>
      <c r="D11" s="45">
        <f>Scenarios!D10</f>
        <v>1739071.4285714284</v>
      </c>
    </row>
    <row r="12" spans="1:4" x14ac:dyDescent="0.2">
      <c r="B12" s="48"/>
      <c r="C12" s="48"/>
      <c r="D12" s="48"/>
    </row>
    <row r="13" spans="1:4" x14ac:dyDescent="0.2">
      <c r="A13" s="5" t="s">
        <v>193</v>
      </c>
      <c r="B13" s="46">
        <f>Sensitivity!B17</f>
        <v>1.1572514530749771</v>
      </c>
      <c r="C13" s="48"/>
      <c r="D13" s="48"/>
    </row>
    <row r="14" spans="1:4" x14ac:dyDescent="0.2">
      <c r="A14" s="5" t="s">
        <v>194</v>
      </c>
      <c r="B14" s="49">
        <f>Sensitivity!B20</f>
        <v>6.6686931261138724</v>
      </c>
      <c r="C14" s="48"/>
      <c r="D14" s="48"/>
    </row>
    <row r="15" spans="1:4" x14ac:dyDescent="0.2">
      <c r="A15" s="5" t="s">
        <v>98</v>
      </c>
      <c r="B15" s="46">
        <f>Inputs!$B$52</f>
        <v>9.5000000000000001E-2</v>
      </c>
      <c r="C15" s="48"/>
      <c r="D15" s="48"/>
    </row>
    <row r="16" spans="1:4" x14ac:dyDescent="0.2">
      <c r="A16" s="5" t="s">
        <v>195</v>
      </c>
      <c r="B16" s="50" t="str">
        <f>IF(AND(Scenarios!B19="OK",Sensitivity!B12="OK"),"OK","CHECK")</f>
        <v>OK</v>
      </c>
      <c r="C16" s="48"/>
      <c r="D16" s="48"/>
    </row>
    <row r="18" spans="1:4" x14ac:dyDescent="0.2">
      <c r="A18" s="3" t="s">
        <v>196</v>
      </c>
    </row>
    <row r="19" spans="1:4" ht="30" customHeight="1" x14ac:dyDescent="0.2">
      <c r="A19" s="62" t="s">
        <v>197</v>
      </c>
      <c r="B19" s="63"/>
      <c r="C19" s="63"/>
      <c r="D19" s="63"/>
    </row>
    <row r="20" spans="1:4" ht="30" customHeight="1" x14ac:dyDescent="0.2">
      <c r="A20" s="62" t="s">
        <v>198</v>
      </c>
      <c r="B20" s="63"/>
      <c r="C20" s="63"/>
      <c r="D20" s="63"/>
    </row>
    <row r="21" spans="1:4" ht="30" customHeight="1" x14ac:dyDescent="0.2">
      <c r="A21" s="62" t="s">
        <v>199</v>
      </c>
      <c r="B21" s="63"/>
      <c r="C21" s="63"/>
      <c r="D21" s="63"/>
    </row>
    <row r="22" spans="1:4" ht="30" customHeight="1" x14ac:dyDescent="0.2">
      <c r="A22" s="62" t="s">
        <v>200</v>
      </c>
      <c r="B22" s="63"/>
      <c r="C22" s="63"/>
      <c r="D22" s="63"/>
    </row>
    <row r="23" spans="1:4" ht="30" customHeight="1" x14ac:dyDescent="0.2">
      <c r="A23" s="62" t="s">
        <v>201</v>
      </c>
      <c r="B23" s="63"/>
      <c r="C23" s="63"/>
      <c r="D23" s="63"/>
    </row>
  </sheetData>
  <mergeCells count="5">
    <mergeCell ref="A23:D23"/>
    <mergeCell ref="A22:D22"/>
    <mergeCell ref="A20:D20"/>
    <mergeCell ref="A21:D21"/>
    <mergeCell ref="A19:D19"/>
  </mergeCell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11"/>
  <sheetViews>
    <sheetView showGridLines="0" workbookViewId="0"/>
  </sheetViews>
  <sheetFormatPr baseColWidth="10" defaultColWidth="8.83203125" defaultRowHeight="15" x14ac:dyDescent="0.2"/>
  <cols>
    <col min="1" max="1" width="62" customWidth="1"/>
    <col min="2" max="4" width="16" customWidth="1"/>
  </cols>
  <sheetData>
    <row r="1" spans="1:4" ht="18" x14ac:dyDescent="0.2">
      <c r="A1" s="1" t="s">
        <v>202</v>
      </c>
    </row>
    <row r="2" spans="1:4" x14ac:dyDescent="0.2">
      <c r="A2" s="2" t="s">
        <v>203</v>
      </c>
    </row>
    <row r="4" spans="1:4" x14ac:dyDescent="0.2">
      <c r="A4" s="23" t="s">
        <v>204</v>
      </c>
      <c r="B4" s="23" t="s">
        <v>101</v>
      </c>
      <c r="C4" s="23" t="s">
        <v>102</v>
      </c>
      <c r="D4" s="23" t="s">
        <v>103</v>
      </c>
    </row>
    <row r="5" spans="1:4" x14ac:dyDescent="0.2">
      <c r="A5" s="51" t="s">
        <v>205</v>
      </c>
      <c r="B5" s="52">
        <f>Scenarios!B13</f>
        <v>-213904.55460792259</v>
      </c>
      <c r="C5" s="52">
        <f>Scenarios!C13</f>
        <v>1647821.4505830901</v>
      </c>
      <c r="D5" s="52">
        <f>Scenarios!D13</f>
        <v>-1794151.3591257182</v>
      </c>
    </row>
    <row r="6" spans="1:4" x14ac:dyDescent="0.2">
      <c r="A6" s="51" t="s">
        <v>206</v>
      </c>
      <c r="B6" s="52">
        <f>Scenarios!C29+NPV(Inputs!$B$52,Scenarios!D29:M29)</f>
        <v>-213904.55460792268</v>
      </c>
      <c r="C6" s="52">
        <f>Scenarios!C41+NPV(Inputs!$B$52,Scenarios!D41:M41)</f>
        <v>1647821.4505830898</v>
      </c>
      <c r="D6" s="52">
        <f>Scenarios!C53+NPV(Inputs!$B$52,Scenarios!D53:M53)</f>
        <v>-1794151.3591257178</v>
      </c>
    </row>
    <row r="7" spans="1:4" x14ac:dyDescent="0.2">
      <c r="A7" s="51" t="s">
        <v>207</v>
      </c>
      <c r="B7" s="52">
        <f>B6-B5</f>
        <v>0</v>
      </c>
      <c r="C7" s="52">
        <f>C6-C5</f>
        <v>0</v>
      </c>
      <c r="D7" s="52">
        <f>D6-D5</f>
        <v>0</v>
      </c>
    </row>
    <row r="8" spans="1:4" x14ac:dyDescent="0.2">
      <c r="A8" s="51" t="s">
        <v>208</v>
      </c>
      <c r="B8" s="52">
        <f>IF(ISNUMBER(Scenarios!B14),Scenarios!C29+NPV(Scenarios!B14,Scenarios!D29:M29),"No IRR")</f>
        <v>-4.6566128730773926E-10</v>
      </c>
      <c r="C8" s="52">
        <f>IF(ISNUMBER(Scenarios!C14),Scenarios!C41+NPV(Scenarios!C14,Scenarios!D41:M41),"No IRR")</f>
        <v>4.6566128730773926E-10</v>
      </c>
      <c r="D8" s="52" t="str">
        <f>IF(ISNUMBER(Scenarios!D14),Scenarios!C53+NPV(Scenarios!D14,Scenarios!D53:M53),"No IRR")</f>
        <v>No IRR</v>
      </c>
    </row>
    <row r="9" spans="1:4" x14ac:dyDescent="0.2">
      <c r="A9" s="3" t="s">
        <v>204</v>
      </c>
      <c r="B9" s="50" t="str">
        <f>IF(AND(ABS(B7)&lt;0.5,OR(NOT(ISNUMBER(B8)),ABS(IF(ISNUMBER(B8),B8,0))&lt;0.5)),"OK","CHECK")</f>
        <v>OK</v>
      </c>
      <c r="C9" s="50" t="str">
        <f>IF(AND(ABS(C7)&lt;0.5,OR(NOT(ISNUMBER(C8)),ABS(IF(ISNUMBER(C8),C8,0))&lt;0.5)),"OK","CHECK")</f>
        <v>OK</v>
      </c>
      <c r="D9" s="50" t="str">
        <f>IF(AND(ABS(D7)&lt;0.5,OR(NOT(ISNUMBER(D8)),ABS(IF(ISNUMBER(D8),D8,0))&lt;0.5)),"OK","CHECK")</f>
        <v>OK</v>
      </c>
    </row>
    <row r="11" spans="1:4" x14ac:dyDescent="0.2">
      <c r="A11" s="3" t="s">
        <v>209</v>
      </c>
      <c r="B11" s="3" t="str">
        <f>IF(AND(B9="OK",C9="OK",D9="OK",Scenarios!B19="OK",Sensitivity!B12="OK"),"OK","CHECK")</f>
        <v>OK</v>
      </c>
    </row>
  </sheetData>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4"/>
  <sheetViews>
    <sheetView workbookViewId="0"/>
  </sheetViews>
  <sheetFormatPr baseColWidth="10" defaultColWidth="8.83203125" defaultRowHeight="15" x14ac:dyDescent="0.2"/>
  <cols>
    <col min="1" max="1" width="14" customWidth="1"/>
    <col min="2" max="3" width="21" customWidth="1"/>
    <col min="4" max="4" width="25" customWidth="1"/>
    <col min="5" max="5" width="17" customWidth="1"/>
    <col min="6" max="6" width="19" customWidth="1"/>
    <col min="7" max="8" width="14" customWidth="1"/>
    <col min="9" max="9" width="17" customWidth="1"/>
    <col min="10" max="10" width="29" customWidth="1"/>
    <col min="11" max="11" width="16" customWidth="1"/>
  </cols>
  <sheetData>
    <row r="1" spans="1:11" x14ac:dyDescent="0.2">
      <c r="A1" s="23" t="s">
        <v>210</v>
      </c>
      <c r="B1" s="23" t="s">
        <v>211</v>
      </c>
      <c r="C1" s="23" t="s">
        <v>212</v>
      </c>
      <c r="D1" s="23" t="s">
        <v>213</v>
      </c>
      <c r="E1" s="23" t="s">
        <v>214</v>
      </c>
      <c r="F1" s="23" t="s">
        <v>215</v>
      </c>
      <c r="G1" s="23" t="s">
        <v>216</v>
      </c>
      <c r="H1" s="23" t="s">
        <v>217</v>
      </c>
      <c r="I1" s="23" t="s">
        <v>218</v>
      </c>
      <c r="J1" s="23" t="s">
        <v>219</v>
      </c>
      <c r="K1" s="23" t="s">
        <v>220</v>
      </c>
    </row>
    <row r="2" spans="1:11" x14ac:dyDescent="0.2">
      <c r="A2" s="51" t="s">
        <v>101</v>
      </c>
      <c r="B2" s="51">
        <f>ROUND(Scenarios!B5,4)</f>
        <v>1</v>
      </c>
      <c r="C2" s="51">
        <f>ROUND(Scenarios!B6,2)</f>
        <v>5</v>
      </c>
      <c r="D2" s="51">
        <f>ROUND(Scenarios!B7,4)</f>
        <v>0.5</v>
      </c>
      <c r="E2" s="51">
        <f>ROUND(Scenarios!B8,4)</f>
        <v>0.1</v>
      </c>
      <c r="F2" s="53">
        <f>ROUND(Scenarios!B10,0)</f>
        <v>1391257</v>
      </c>
      <c r="G2" s="53">
        <f>ROUND(Scenarios!B13,0)</f>
        <v>-213905</v>
      </c>
      <c r="H2" s="51">
        <f>IF(ISNUMBER(Scenarios!B14),ROUND(Scenarios!B14,4),"")</f>
        <v>6.1400000000000003E-2</v>
      </c>
      <c r="I2" s="54">
        <f>IF(ISNUMBER(Scenarios!B15),ROUND(Scenarios!B15,1),"")</f>
        <v>7.5</v>
      </c>
      <c r="J2" s="53">
        <f>ROUND(Scenarios!B16,0)</f>
        <v>560822</v>
      </c>
      <c r="K2" s="53">
        <f>ROUND(Scenarios!B17,0)</f>
        <v>175191</v>
      </c>
    </row>
    <row r="3" spans="1:11" x14ac:dyDescent="0.2">
      <c r="A3" s="51" t="s">
        <v>102</v>
      </c>
      <c r="B3" s="51">
        <f>ROUND(Scenarios!C5,4)</f>
        <v>1.5</v>
      </c>
      <c r="C3" s="51">
        <f>ROUND(Scenarios!C6,2)</f>
        <v>6.5</v>
      </c>
      <c r="D3" s="51">
        <f>ROUND(Scenarios!C7,4)</f>
        <v>0.35</v>
      </c>
      <c r="E3" s="51">
        <f>ROUND(Scenarios!C8,4)</f>
        <v>7.4999999999999997E-2</v>
      </c>
      <c r="F3" s="53">
        <f>ROUND(Scenarios!C10,0)</f>
        <v>1252131</v>
      </c>
      <c r="G3" s="53">
        <f>ROUND(Scenarios!C13,0)</f>
        <v>1647821</v>
      </c>
      <c r="H3" s="51">
        <f>IF(ISNUMBER(Scenarios!C14),ROUND(Scenarios!C14,4),"")</f>
        <v>0.32500000000000001</v>
      </c>
      <c r="I3" s="54">
        <f>IF(ISNUMBER(Scenarios!C15),ROUND(Scenarios!C15,1),"")</f>
        <v>3</v>
      </c>
      <c r="J3" s="53">
        <f>ROUND(Scenarios!C16,0)</f>
        <v>3504338</v>
      </c>
      <c r="K3" s="53">
        <f>ROUND(Scenarios!C17,0)</f>
        <v>419820</v>
      </c>
    </row>
    <row r="4" spans="1:11" x14ac:dyDescent="0.2">
      <c r="A4" s="51" t="s">
        <v>103</v>
      </c>
      <c r="B4" s="51">
        <f>ROUND(Scenarios!D5,4)</f>
        <v>0.5</v>
      </c>
      <c r="C4" s="51">
        <f>ROUND(Scenarios!D6,2)</f>
        <v>3.5</v>
      </c>
      <c r="D4" s="51">
        <f>ROUND(Scenarios!D7,4)</f>
        <v>0.65</v>
      </c>
      <c r="E4" s="51">
        <f>ROUND(Scenarios!D8,4)</f>
        <v>0.14680000000000001</v>
      </c>
      <c r="F4" s="53">
        <f>ROUND(Scenarios!D10,0)</f>
        <v>1739071</v>
      </c>
      <c r="G4" s="53">
        <f>ROUND(Scenarios!D13,0)</f>
        <v>-1794151</v>
      </c>
      <c r="H4" s="51" t="str">
        <f>IF(ISNUMBER(Scenarios!D14),ROUND(Scenarios!D14,4),"")</f>
        <v/>
      </c>
      <c r="I4" s="54" t="str">
        <f>IF(ISNUMBER(Scenarios!D15),ROUND(Scenarios!D15,1),"")</f>
        <v/>
      </c>
      <c r="J4" s="53">
        <f>ROUND(Scenarios!D16,0)</f>
        <v>-1793390</v>
      </c>
      <c r="K4" s="53">
        <f>ROUND(Scenarios!D17,0)</f>
        <v>172</v>
      </c>
    </row>
  </sheetData>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D34"/>
  <sheetViews>
    <sheetView workbookViewId="0"/>
  </sheetViews>
  <sheetFormatPr baseColWidth="10" defaultColWidth="8.83203125" defaultRowHeight="15" x14ac:dyDescent="0.2"/>
  <cols>
    <col min="1" max="2" width="14" customWidth="1"/>
    <col min="3" max="3" width="17" customWidth="1"/>
    <col min="4" max="4" width="24" customWidth="1"/>
  </cols>
  <sheetData>
    <row r="1" spans="1:4" x14ac:dyDescent="0.2">
      <c r="A1" s="23" t="s">
        <v>210</v>
      </c>
      <c r="B1" s="23" t="s">
        <v>221</v>
      </c>
      <c r="C1" s="23" t="s">
        <v>222</v>
      </c>
      <c r="D1" s="23" t="s">
        <v>223</v>
      </c>
    </row>
    <row r="2" spans="1:4" x14ac:dyDescent="0.2">
      <c r="A2" s="51" t="s">
        <v>101</v>
      </c>
      <c r="B2" s="53">
        <f>Scenarios!C21</f>
        <v>0</v>
      </c>
      <c r="C2" s="53">
        <f>ROUND(Scenarios!C29,0)</f>
        <v>-1447549</v>
      </c>
      <c r="D2" s="53">
        <f>ROUND(Scenarios!C30,0)</f>
        <v>-1447549</v>
      </c>
    </row>
    <row r="3" spans="1:4" x14ac:dyDescent="0.2">
      <c r="A3" s="51" t="s">
        <v>101</v>
      </c>
      <c r="B3" s="53">
        <f>Scenarios!D21</f>
        <v>1</v>
      </c>
      <c r="C3" s="53">
        <f>ROUND(Scenarios!D29,0)</f>
        <v>175191</v>
      </c>
      <c r="D3" s="53">
        <f>ROUND(Scenarios!D30,0)</f>
        <v>-1272358</v>
      </c>
    </row>
    <row r="4" spans="1:4" x14ac:dyDescent="0.2">
      <c r="A4" s="51" t="s">
        <v>101</v>
      </c>
      <c r="B4" s="53">
        <f>Scenarios!E21</f>
        <v>2</v>
      </c>
      <c r="C4" s="53">
        <f>ROUND(Scenarios!E29,0)</f>
        <v>180447</v>
      </c>
      <c r="D4" s="53">
        <f>ROUND(Scenarios!E30,0)</f>
        <v>-1091911</v>
      </c>
    </row>
    <row r="5" spans="1:4" x14ac:dyDescent="0.2">
      <c r="A5" s="51" t="s">
        <v>101</v>
      </c>
      <c r="B5" s="53">
        <f>Scenarios!F21</f>
        <v>3</v>
      </c>
      <c r="C5" s="53">
        <f>ROUND(Scenarios!F29,0)</f>
        <v>185860</v>
      </c>
      <c r="D5" s="53">
        <f>ROUND(Scenarios!F30,0)</f>
        <v>-906050</v>
      </c>
    </row>
    <row r="6" spans="1:4" x14ac:dyDescent="0.2">
      <c r="A6" s="51" t="s">
        <v>101</v>
      </c>
      <c r="B6" s="53">
        <f>Scenarios!G21</f>
        <v>4</v>
      </c>
      <c r="C6" s="53">
        <f>ROUND(Scenarios!G29,0)</f>
        <v>191436</v>
      </c>
      <c r="D6" s="53">
        <f>ROUND(Scenarios!G30,0)</f>
        <v>-714614</v>
      </c>
    </row>
    <row r="7" spans="1:4" x14ac:dyDescent="0.2">
      <c r="A7" s="51" t="s">
        <v>101</v>
      </c>
      <c r="B7" s="53">
        <f>Scenarios!H21</f>
        <v>5</v>
      </c>
      <c r="C7" s="53">
        <f>ROUND(Scenarios!H29,0)</f>
        <v>197179</v>
      </c>
      <c r="D7" s="53">
        <f>ROUND(Scenarios!H30,0)</f>
        <v>-517435</v>
      </c>
    </row>
    <row r="8" spans="1:4" x14ac:dyDescent="0.2">
      <c r="A8" s="51" t="s">
        <v>101</v>
      </c>
      <c r="B8" s="53">
        <f>Scenarios!I21</f>
        <v>6</v>
      </c>
      <c r="C8" s="53">
        <f>ROUND(Scenarios!I29,0)</f>
        <v>203095</v>
      </c>
      <c r="D8" s="53">
        <f>ROUND(Scenarios!I30,0)</f>
        <v>-314340</v>
      </c>
    </row>
    <row r="9" spans="1:4" x14ac:dyDescent="0.2">
      <c r="A9" s="51" t="s">
        <v>101</v>
      </c>
      <c r="B9" s="53">
        <f>Scenarios!J21</f>
        <v>7</v>
      </c>
      <c r="C9" s="53">
        <f>ROUND(Scenarios!J29,0)</f>
        <v>209187</v>
      </c>
      <c r="D9" s="53">
        <f>ROUND(Scenarios!J30,0)</f>
        <v>-105153</v>
      </c>
    </row>
    <row r="10" spans="1:4" x14ac:dyDescent="0.2">
      <c r="A10" s="51" t="s">
        <v>101</v>
      </c>
      <c r="B10" s="53">
        <f>Scenarios!K21</f>
        <v>8</v>
      </c>
      <c r="C10" s="53">
        <f>ROUND(Scenarios!K29,0)</f>
        <v>215463</v>
      </c>
      <c r="D10" s="53">
        <f>ROUND(Scenarios!K30,0)</f>
        <v>110310</v>
      </c>
    </row>
    <row r="11" spans="1:4" x14ac:dyDescent="0.2">
      <c r="A11" s="51" t="s">
        <v>101</v>
      </c>
      <c r="B11" s="53">
        <f>Scenarios!L21</f>
        <v>9</v>
      </c>
      <c r="C11" s="53">
        <f>ROUND(Scenarios!L29,0)</f>
        <v>221927</v>
      </c>
      <c r="D11" s="53">
        <f>ROUND(Scenarios!L30,0)</f>
        <v>332237</v>
      </c>
    </row>
    <row r="12" spans="1:4" x14ac:dyDescent="0.2">
      <c r="A12" s="51" t="s">
        <v>101</v>
      </c>
      <c r="B12" s="53">
        <f>Scenarios!M21</f>
        <v>10</v>
      </c>
      <c r="C12" s="53">
        <f>ROUND(Scenarios!M29,0)</f>
        <v>228585</v>
      </c>
      <c r="D12" s="53">
        <f>ROUND(Scenarios!M30,0)</f>
        <v>560822</v>
      </c>
    </row>
    <row r="13" spans="1:4" x14ac:dyDescent="0.2">
      <c r="A13" s="51" t="s">
        <v>102</v>
      </c>
      <c r="B13" s="53">
        <f>Scenarios!C33</f>
        <v>0</v>
      </c>
      <c r="C13" s="53">
        <f>ROUND(Scenarios!C41,0)</f>
        <v>-1308423</v>
      </c>
      <c r="D13" s="53">
        <f>ROUND(Scenarios!C42,0)</f>
        <v>-1308423</v>
      </c>
    </row>
    <row r="14" spans="1:4" x14ac:dyDescent="0.2">
      <c r="A14" s="51" t="s">
        <v>102</v>
      </c>
      <c r="B14" s="53">
        <f>Scenarios!D33</f>
        <v>1</v>
      </c>
      <c r="C14" s="53">
        <f>ROUND(Scenarios!D41,0)</f>
        <v>419820</v>
      </c>
      <c r="D14" s="53">
        <f>ROUND(Scenarios!D42,0)</f>
        <v>-888603</v>
      </c>
    </row>
    <row r="15" spans="1:4" x14ac:dyDescent="0.2">
      <c r="A15" s="51" t="s">
        <v>102</v>
      </c>
      <c r="B15" s="53">
        <f>Scenarios!E33</f>
        <v>2</v>
      </c>
      <c r="C15" s="53">
        <f>ROUND(Scenarios!E41,0)</f>
        <v>432414</v>
      </c>
      <c r="D15" s="53">
        <f>ROUND(Scenarios!E42,0)</f>
        <v>-456189</v>
      </c>
    </row>
    <row r="16" spans="1:4" x14ac:dyDescent="0.2">
      <c r="A16" s="51" t="s">
        <v>102</v>
      </c>
      <c r="B16" s="53">
        <f>Scenarios!F33</f>
        <v>3</v>
      </c>
      <c r="C16" s="53">
        <f>ROUND(Scenarios!F41,0)</f>
        <v>445387</v>
      </c>
      <c r="D16" s="53">
        <f>ROUND(Scenarios!F42,0)</f>
        <v>-10803</v>
      </c>
    </row>
    <row r="17" spans="1:4" x14ac:dyDescent="0.2">
      <c r="A17" s="51" t="s">
        <v>102</v>
      </c>
      <c r="B17" s="53">
        <f>Scenarios!G33</f>
        <v>4</v>
      </c>
      <c r="C17" s="53">
        <f>ROUND(Scenarios!G41,0)</f>
        <v>458748</v>
      </c>
      <c r="D17" s="53">
        <f>ROUND(Scenarios!G42,0)</f>
        <v>447945</v>
      </c>
    </row>
    <row r="18" spans="1:4" x14ac:dyDescent="0.2">
      <c r="A18" s="51" t="s">
        <v>102</v>
      </c>
      <c r="B18" s="53">
        <f>Scenarios!H33</f>
        <v>5</v>
      </c>
      <c r="C18" s="53">
        <f>ROUND(Scenarios!H41,0)</f>
        <v>472511</v>
      </c>
      <c r="D18" s="53">
        <f>ROUND(Scenarios!H42,0)</f>
        <v>920456</v>
      </c>
    </row>
    <row r="19" spans="1:4" x14ac:dyDescent="0.2">
      <c r="A19" s="51" t="s">
        <v>102</v>
      </c>
      <c r="B19" s="53">
        <f>Scenarios!I33</f>
        <v>6</v>
      </c>
      <c r="C19" s="53">
        <f>ROUND(Scenarios!I41,0)</f>
        <v>486686</v>
      </c>
      <c r="D19" s="53">
        <f>ROUND(Scenarios!I42,0)</f>
        <v>1407142</v>
      </c>
    </row>
    <row r="20" spans="1:4" x14ac:dyDescent="0.2">
      <c r="A20" s="51" t="s">
        <v>102</v>
      </c>
      <c r="B20" s="53">
        <f>Scenarios!J33</f>
        <v>7</v>
      </c>
      <c r="C20" s="53">
        <f>ROUND(Scenarios!J41,0)</f>
        <v>501287</v>
      </c>
      <c r="D20" s="53">
        <f>ROUND(Scenarios!J42,0)</f>
        <v>1908428</v>
      </c>
    </row>
    <row r="21" spans="1:4" x14ac:dyDescent="0.2">
      <c r="A21" s="51" t="s">
        <v>102</v>
      </c>
      <c r="B21" s="53">
        <f>Scenarios!K33</f>
        <v>8</v>
      </c>
      <c r="C21" s="53">
        <f>ROUND(Scenarios!K41,0)</f>
        <v>516325</v>
      </c>
      <c r="D21" s="53">
        <f>ROUND(Scenarios!K42,0)</f>
        <v>2424754</v>
      </c>
    </row>
    <row r="22" spans="1:4" x14ac:dyDescent="0.2">
      <c r="A22" s="51" t="s">
        <v>102</v>
      </c>
      <c r="B22" s="53">
        <f>Scenarios!L33</f>
        <v>9</v>
      </c>
      <c r="C22" s="53">
        <f>ROUND(Scenarios!L41,0)</f>
        <v>531815</v>
      </c>
      <c r="D22" s="53">
        <f>ROUND(Scenarios!L42,0)</f>
        <v>2956568</v>
      </c>
    </row>
    <row r="23" spans="1:4" x14ac:dyDescent="0.2">
      <c r="A23" s="51" t="s">
        <v>102</v>
      </c>
      <c r="B23" s="53">
        <f>Scenarios!M33</f>
        <v>10</v>
      </c>
      <c r="C23" s="53">
        <f>ROUND(Scenarios!M41,0)</f>
        <v>547769</v>
      </c>
      <c r="D23" s="53">
        <f>ROUND(Scenarios!M42,0)</f>
        <v>3504338</v>
      </c>
    </row>
    <row r="24" spans="1:4" x14ac:dyDescent="0.2">
      <c r="A24" s="51" t="s">
        <v>103</v>
      </c>
      <c r="B24" s="53">
        <f>Scenarios!C45</f>
        <v>0</v>
      </c>
      <c r="C24" s="53">
        <f>ROUND(Scenarios!C53,0)</f>
        <v>-1795363</v>
      </c>
      <c r="D24" s="53">
        <f>ROUND(Scenarios!C54,0)</f>
        <v>-1795363</v>
      </c>
    </row>
    <row r="25" spans="1:4" x14ac:dyDescent="0.2">
      <c r="A25" s="51" t="s">
        <v>103</v>
      </c>
      <c r="B25" s="53">
        <f>Scenarios!D45</f>
        <v>1</v>
      </c>
      <c r="C25" s="53">
        <f>ROUND(Scenarios!D53,0)</f>
        <v>172</v>
      </c>
      <c r="D25" s="53">
        <f>ROUND(Scenarios!D54,0)</f>
        <v>-1795191</v>
      </c>
    </row>
    <row r="26" spans="1:4" x14ac:dyDescent="0.2">
      <c r="A26" s="51" t="s">
        <v>103</v>
      </c>
      <c r="B26" s="53">
        <f>Scenarios!E45</f>
        <v>2</v>
      </c>
      <c r="C26" s="53">
        <f>ROUND(Scenarios!E53,0)</f>
        <v>177</v>
      </c>
      <c r="D26" s="53">
        <f>ROUND(Scenarios!E54,0)</f>
        <v>-1795014</v>
      </c>
    </row>
    <row r="27" spans="1:4" x14ac:dyDescent="0.2">
      <c r="A27" s="51" t="s">
        <v>103</v>
      </c>
      <c r="B27" s="53">
        <f>Scenarios!F45</f>
        <v>3</v>
      </c>
      <c r="C27" s="53">
        <f>ROUND(Scenarios!F53,0)</f>
        <v>183</v>
      </c>
      <c r="D27" s="53">
        <f>ROUND(Scenarios!F54,0)</f>
        <v>-1794831</v>
      </c>
    </row>
    <row r="28" spans="1:4" x14ac:dyDescent="0.2">
      <c r="A28" s="51" t="s">
        <v>103</v>
      </c>
      <c r="B28" s="53">
        <f>Scenarios!G45</f>
        <v>4</v>
      </c>
      <c r="C28" s="53">
        <f>ROUND(Scenarios!G53,0)</f>
        <v>188</v>
      </c>
      <c r="D28" s="53">
        <f>ROUND(Scenarios!G54,0)</f>
        <v>-1794643</v>
      </c>
    </row>
    <row r="29" spans="1:4" x14ac:dyDescent="0.2">
      <c r="A29" s="51" t="s">
        <v>103</v>
      </c>
      <c r="B29" s="53">
        <f>Scenarios!H45</f>
        <v>5</v>
      </c>
      <c r="C29" s="53">
        <f>ROUND(Scenarios!H53,0)</f>
        <v>194</v>
      </c>
      <c r="D29" s="53">
        <f>ROUND(Scenarios!H54,0)</f>
        <v>-1794449</v>
      </c>
    </row>
    <row r="30" spans="1:4" x14ac:dyDescent="0.2">
      <c r="A30" s="51" t="s">
        <v>103</v>
      </c>
      <c r="B30" s="53">
        <f>Scenarios!I45</f>
        <v>6</v>
      </c>
      <c r="C30" s="53">
        <f>ROUND(Scenarios!I53,0)</f>
        <v>199</v>
      </c>
      <c r="D30" s="53">
        <f>ROUND(Scenarios!I54,0)</f>
        <v>-1794250</v>
      </c>
    </row>
    <row r="31" spans="1:4" x14ac:dyDescent="0.2">
      <c r="A31" s="51" t="s">
        <v>103</v>
      </c>
      <c r="B31" s="53">
        <f>Scenarios!J45</f>
        <v>7</v>
      </c>
      <c r="C31" s="53">
        <f>ROUND(Scenarios!J53,0)</f>
        <v>205</v>
      </c>
      <c r="D31" s="53">
        <f>ROUND(Scenarios!J54,0)</f>
        <v>-1794045</v>
      </c>
    </row>
    <row r="32" spans="1:4" x14ac:dyDescent="0.2">
      <c r="A32" s="51" t="s">
        <v>103</v>
      </c>
      <c r="B32" s="53">
        <f>Scenarios!K45</f>
        <v>8</v>
      </c>
      <c r="C32" s="53">
        <f>ROUND(Scenarios!K53,0)</f>
        <v>212</v>
      </c>
      <c r="D32" s="53">
        <f>ROUND(Scenarios!K54,0)</f>
        <v>-1793833</v>
      </c>
    </row>
    <row r="33" spans="1:4" x14ac:dyDescent="0.2">
      <c r="A33" s="51" t="s">
        <v>103</v>
      </c>
      <c r="B33" s="53">
        <f>Scenarios!L45</f>
        <v>9</v>
      </c>
      <c r="C33" s="53">
        <f>ROUND(Scenarios!L53,0)</f>
        <v>218</v>
      </c>
      <c r="D33" s="53">
        <f>ROUND(Scenarios!L54,0)</f>
        <v>-1793615</v>
      </c>
    </row>
    <row r="34" spans="1:4" x14ac:dyDescent="0.2">
      <c r="A34" s="51" t="s">
        <v>103</v>
      </c>
      <c r="B34" s="53">
        <f>Scenarios!M45</f>
        <v>10</v>
      </c>
      <c r="C34" s="53">
        <f>ROUND(Scenarios!M53,0)</f>
        <v>225</v>
      </c>
      <c r="D34" s="53">
        <f>ROUND(Scenarios!M54,0)</f>
        <v>-1793390</v>
      </c>
    </row>
  </sheetData>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26"/>
  <sheetViews>
    <sheetView workbookViewId="0"/>
  </sheetViews>
  <sheetFormatPr baseColWidth="10" defaultColWidth="8.83203125" defaultRowHeight="15" x14ac:dyDescent="0.2"/>
  <cols>
    <col min="1" max="2" width="21" customWidth="1"/>
    <col min="3" max="3" width="22" customWidth="1"/>
    <col min="4" max="4" width="14" customWidth="1"/>
  </cols>
  <sheetData>
    <row r="1" spans="1:4" x14ac:dyDescent="0.2">
      <c r="A1" s="23" t="s">
        <v>211</v>
      </c>
      <c r="B1" s="23" t="s">
        <v>212</v>
      </c>
      <c r="C1" s="23" t="s">
        <v>224</v>
      </c>
      <c r="D1" s="23" t="s">
        <v>216</v>
      </c>
    </row>
    <row r="2" spans="1:4" x14ac:dyDescent="0.2">
      <c r="A2" s="51">
        <f>ROUND(Sensitivity!$B6,4)</f>
        <v>0.5</v>
      </c>
      <c r="B2" s="51">
        <f>ROUND(Sensitivity!C$4,2)</f>
        <v>3.5</v>
      </c>
      <c r="C2" s="51">
        <f>ROUND(Sensitivity!C$5,2)</f>
        <v>16.28</v>
      </c>
      <c r="D2" s="53">
        <f>ROUND(Sensitivity!C6,0)</f>
        <v>-1038250</v>
      </c>
    </row>
    <row r="3" spans="1:4" x14ac:dyDescent="0.2">
      <c r="A3" s="51">
        <f>ROUND(Sensitivity!$B6,4)</f>
        <v>0.5</v>
      </c>
      <c r="B3" s="51">
        <f>ROUND(Sensitivity!D$4,2)</f>
        <v>4.25</v>
      </c>
      <c r="C3" s="51">
        <f>ROUND(Sensitivity!D$5,2)</f>
        <v>17.03</v>
      </c>
      <c r="D3" s="53">
        <f>ROUND(Sensitivity!D6,0)</f>
        <v>-966145</v>
      </c>
    </row>
    <row r="4" spans="1:4" x14ac:dyDescent="0.2">
      <c r="A4" s="51">
        <f>ROUND(Sensitivity!$B6,4)</f>
        <v>0.5</v>
      </c>
      <c r="B4" s="51">
        <f>ROUND(Sensitivity!E$4,2)</f>
        <v>5</v>
      </c>
      <c r="C4" s="51">
        <f>ROUND(Sensitivity!E$5,2)</f>
        <v>17.78</v>
      </c>
      <c r="D4" s="53">
        <f>ROUND(Sensitivity!E6,0)</f>
        <v>-894040</v>
      </c>
    </row>
    <row r="5" spans="1:4" x14ac:dyDescent="0.2">
      <c r="A5" s="51">
        <f>ROUND(Sensitivity!$B6,4)</f>
        <v>0.5</v>
      </c>
      <c r="B5" s="51">
        <f>ROUND(Sensitivity!F$4,2)</f>
        <v>5.75</v>
      </c>
      <c r="C5" s="51">
        <f>ROUND(Sensitivity!F$5,2)</f>
        <v>18.53</v>
      </c>
      <c r="D5" s="53">
        <f>ROUND(Sensitivity!F6,0)</f>
        <v>-821935</v>
      </c>
    </row>
    <row r="6" spans="1:4" x14ac:dyDescent="0.2">
      <c r="A6" s="51">
        <f>ROUND(Sensitivity!$B6,4)</f>
        <v>0.5</v>
      </c>
      <c r="B6" s="51">
        <f>ROUND(Sensitivity!G$4,2)</f>
        <v>6.5</v>
      </c>
      <c r="C6" s="51">
        <f>ROUND(Sensitivity!G$5,2)</f>
        <v>19.28</v>
      </c>
      <c r="D6" s="53">
        <f>ROUND(Sensitivity!G6,0)</f>
        <v>-749830</v>
      </c>
    </row>
    <row r="7" spans="1:4" x14ac:dyDescent="0.2">
      <c r="A7" s="51">
        <f>ROUND(Sensitivity!$B7,4)</f>
        <v>0.75</v>
      </c>
      <c r="B7" s="51">
        <f>ROUND(Sensitivity!C$4,2)</f>
        <v>3.5</v>
      </c>
      <c r="C7" s="51">
        <f>ROUND(Sensitivity!C$5,2)</f>
        <v>16.28</v>
      </c>
      <c r="D7" s="53">
        <f>ROUND(Sensitivity!C7,0)</f>
        <v>-722218</v>
      </c>
    </row>
    <row r="8" spans="1:4" x14ac:dyDescent="0.2">
      <c r="A8" s="51">
        <f>ROUND(Sensitivity!$B7,4)</f>
        <v>0.75</v>
      </c>
      <c r="B8" s="51">
        <f>ROUND(Sensitivity!D$4,2)</f>
        <v>4.25</v>
      </c>
      <c r="C8" s="51">
        <f>ROUND(Sensitivity!D$5,2)</f>
        <v>17.03</v>
      </c>
      <c r="D8" s="53">
        <f>ROUND(Sensitivity!D7,0)</f>
        <v>-638095</v>
      </c>
    </row>
    <row r="9" spans="1:4" x14ac:dyDescent="0.2">
      <c r="A9" s="51">
        <f>ROUND(Sensitivity!$B7,4)</f>
        <v>0.75</v>
      </c>
      <c r="B9" s="51">
        <f>ROUND(Sensitivity!E$4,2)</f>
        <v>5</v>
      </c>
      <c r="C9" s="51">
        <f>ROUND(Sensitivity!E$5,2)</f>
        <v>17.78</v>
      </c>
      <c r="D9" s="53">
        <f>ROUND(Sensitivity!E7,0)</f>
        <v>-553972</v>
      </c>
    </row>
    <row r="10" spans="1:4" x14ac:dyDescent="0.2">
      <c r="A10" s="51">
        <f>ROUND(Sensitivity!$B7,4)</f>
        <v>0.75</v>
      </c>
      <c r="B10" s="51">
        <f>ROUND(Sensitivity!F$4,2)</f>
        <v>5.75</v>
      </c>
      <c r="C10" s="51">
        <f>ROUND(Sensitivity!F$5,2)</f>
        <v>18.53</v>
      </c>
      <c r="D10" s="53">
        <f>ROUND(Sensitivity!F7,0)</f>
        <v>-469850</v>
      </c>
    </row>
    <row r="11" spans="1:4" x14ac:dyDescent="0.2">
      <c r="A11" s="51">
        <f>ROUND(Sensitivity!$B7,4)</f>
        <v>0.75</v>
      </c>
      <c r="B11" s="51">
        <f>ROUND(Sensitivity!G$4,2)</f>
        <v>6.5</v>
      </c>
      <c r="C11" s="51">
        <f>ROUND(Sensitivity!G$5,2)</f>
        <v>19.28</v>
      </c>
      <c r="D11" s="53">
        <f>ROUND(Sensitivity!G7,0)</f>
        <v>-385727</v>
      </c>
    </row>
    <row r="12" spans="1:4" x14ac:dyDescent="0.2">
      <c r="A12" s="51">
        <f>ROUND(Sensitivity!$B8,4)</f>
        <v>1</v>
      </c>
      <c r="B12" s="51">
        <f>ROUND(Sensitivity!C$4,2)</f>
        <v>3.5</v>
      </c>
      <c r="C12" s="51">
        <f>ROUND(Sensitivity!C$5,2)</f>
        <v>16.28</v>
      </c>
      <c r="D12" s="53">
        <f>ROUND(Sensitivity!C8,0)</f>
        <v>-406185</v>
      </c>
    </row>
    <row r="13" spans="1:4" x14ac:dyDescent="0.2">
      <c r="A13" s="51">
        <f>ROUND(Sensitivity!$B8,4)</f>
        <v>1</v>
      </c>
      <c r="B13" s="51">
        <f>ROUND(Sensitivity!D$4,2)</f>
        <v>4.25</v>
      </c>
      <c r="C13" s="51">
        <f>ROUND(Sensitivity!D$5,2)</f>
        <v>17.03</v>
      </c>
      <c r="D13" s="53">
        <f>ROUND(Sensitivity!D8,0)</f>
        <v>-310045</v>
      </c>
    </row>
    <row r="14" spans="1:4" x14ac:dyDescent="0.2">
      <c r="A14" s="51">
        <f>ROUND(Sensitivity!$B8,4)</f>
        <v>1</v>
      </c>
      <c r="B14" s="51">
        <f>ROUND(Sensitivity!E$4,2)</f>
        <v>5</v>
      </c>
      <c r="C14" s="51">
        <f>ROUND(Sensitivity!E$5,2)</f>
        <v>17.78</v>
      </c>
      <c r="D14" s="53">
        <f>ROUND(Sensitivity!E8,0)</f>
        <v>-213905</v>
      </c>
    </row>
    <row r="15" spans="1:4" x14ac:dyDescent="0.2">
      <c r="A15" s="51">
        <f>ROUND(Sensitivity!$B8,4)</f>
        <v>1</v>
      </c>
      <c r="B15" s="51">
        <f>ROUND(Sensitivity!F$4,2)</f>
        <v>5.75</v>
      </c>
      <c r="C15" s="51">
        <f>ROUND(Sensitivity!F$5,2)</f>
        <v>18.53</v>
      </c>
      <c r="D15" s="53">
        <f>ROUND(Sensitivity!F8,0)</f>
        <v>-117764</v>
      </c>
    </row>
    <row r="16" spans="1:4" x14ac:dyDescent="0.2">
      <c r="A16" s="51">
        <f>ROUND(Sensitivity!$B8,4)</f>
        <v>1</v>
      </c>
      <c r="B16" s="51">
        <f>ROUND(Sensitivity!G$4,2)</f>
        <v>6.5</v>
      </c>
      <c r="C16" s="51">
        <f>ROUND(Sensitivity!G$5,2)</f>
        <v>19.28</v>
      </c>
      <c r="D16" s="53">
        <f>ROUND(Sensitivity!G8,0)</f>
        <v>-21624</v>
      </c>
    </row>
    <row r="17" spans="1:4" x14ac:dyDescent="0.2">
      <c r="A17" s="51">
        <f>ROUND(Sensitivity!$B9,4)</f>
        <v>1.25</v>
      </c>
      <c r="B17" s="51">
        <f>ROUND(Sensitivity!C$4,2)</f>
        <v>3.5</v>
      </c>
      <c r="C17" s="51">
        <f>ROUND(Sensitivity!C$5,2)</f>
        <v>16.28</v>
      </c>
      <c r="D17" s="53">
        <f>ROUND(Sensitivity!C9,0)</f>
        <v>-90152</v>
      </c>
    </row>
    <row r="18" spans="1:4" x14ac:dyDescent="0.2">
      <c r="A18" s="51">
        <f>ROUND(Sensitivity!$B9,4)</f>
        <v>1.25</v>
      </c>
      <c r="B18" s="51">
        <f>ROUND(Sensitivity!D$4,2)</f>
        <v>4.25</v>
      </c>
      <c r="C18" s="51">
        <f>ROUND(Sensitivity!D$5,2)</f>
        <v>17.03</v>
      </c>
      <c r="D18" s="53">
        <f>ROUND(Sensitivity!D9,0)</f>
        <v>18005</v>
      </c>
    </row>
    <row r="19" spans="1:4" x14ac:dyDescent="0.2">
      <c r="A19" s="51">
        <f>ROUND(Sensitivity!$B9,4)</f>
        <v>1.25</v>
      </c>
      <c r="B19" s="51">
        <f>ROUND(Sensitivity!E$4,2)</f>
        <v>5</v>
      </c>
      <c r="C19" s="51">
        <f>ROUND(Sensitivity!E$5,2)</f>
        <v>17.78</v>
      </c>
      <c r="D19" s="53">
        <f>ROUND(Sensitivity!E9,0)</f>
        <v>126163</v>
      </c>
    </row>
    <row r="20" spans="1:4" x14ac:dyDescent="0.2">
      <c r="A20" s="51">
        <f>ROUND(Sensitivity!$B9,4)</f>
        <v>1.25</v>
      </c>
      <c r="B20" s="51">
        <f>ROUND(Sensitivity!F$4,2)</f>
        <v>5.75</v>
      </c>
      <c r="C20" s="51">
        <f>ROUND(Sensitivity!F$5,2)</f>
        <v>18.53</v>
      </c>
      <c r="D20" s="53">
        <f>ROUND(Sensitivity!F9,0)</f>
        <v>234321</v>
      </c>
    </row>
    <row r="21" spans="1:4" x14ac:dyDescent="0.2">
      <c r="A21" s="51">
        <f>ROUND(Sensitivity!$B9,4)</f>
        <v>1.25</v>
      </c>
      <c r="B21" s="51">
        <f>ROUND(Sensitivity!G$4,2)</f>
        <v>6.5</v>
      </c>
      <c r="C21" s="51">
        <f>ROUND(Sensitivity!G$5,2)</f>
        <v>19.28</v>
      </c>
      <c r="D21" s="53">
        <f>ROUND(Sensitivity!G9,0)</f>
        <v>342478</v>
      </c>
    </row>
    <row r="22" spans="1:4" x14ac:dyDescent="0.2">
      <c r="A22" s="51">
        <f>ROUND(Sensitivity!$B10,4)</f>
        <v>1.5</v>
      </c>
      <c r="B22" s="51">
        <f>ROUND(Sensitivity!C$4,2)</f>
        <v>3.5</v>
      </c>
      <c r="C22" s="51">
        <f>ROUND(Sensitivity!C$5,2)</f>
        <v>16.28</v>
      </c>
      <c r="D22" s="53">
        <f>ROUND(Sensitivity!C10,0)</f>
        <v>225880</v>
      </c>
    </row>
    <row r="23" spans="1:4" x14ac:dyDescent="0.2">
      <c r="A23" s="51">
        <f>ROUND(Sensitivity!$B10,4)</f>
        <v>1.5</v>
      </c>
      <c r="B23" s="51">
        <f>ROUND(Sensitivity!D$4,2)</f>
        <v>4.25</v>
      </c>
      <c r="C23" s="51">
        <f>ROUND(Sensitivity!D$5,2)</f>
        <v>17.03</v>
      </c>
      <c r="D23" s="53">
        <f>ROUND(Sensitivity!D10,0)</f>
        <v>346056</v>
      </c>
    </row>
    <row r="24" spans="1:4" x14ac:dyDescent="0.2">
      <c r="A24" s="51">
        <f>ROUND(Sensitivity!$B10,4)</f>
        <v>1.5</v>
      </c>
      <c r="B24" s="51">
        <f>ROUND(Sensitivity!E$4,2)</f>
        <v>5</v>
      </c>
      <c r="C24" s="51">
        <f>ROUND(Sensitivity!E$5,2)</f>
        <v>17.78</v>
      </c>
      <c r="D24" s="53">
        <f>ROUND(Sensitivity!E10,0)</f>
        <v>466231</v>
      </c>
    </row>
    <row r="25" spans="1:4" x14ac:dyDescent="0.2">
      <c r="A25" s="51">
        <f>ROUND(Sensitivity!$B10,4)</f>
        <v>1.5</v>
      </c>
      <c r="B25" s="51">
        <f>ROUND(Sensitivity!F$4,2)</f>
        <v>5.75</v>
      </c>
      <c r="C25" s="51">
        <f>ROUND(Sensitivity!F$5,2)</f>
        <v>18.53</v>
      </c>
      <c r="D25" s="53">
        <f>ROUND(Sensitivity!F10,0)</f>
        <v>586406</v>
      </c>
    </row>
    <row r="26" spans="1:4" x14ac:dyDescent="0.2">
      <c r="A26" s="51">
        <f>ROUND(Sensitivity!$B10,4)</f>
        <v>1.5</v>
      </c>
      <c r="B26" s="51">
        <f>ROUND(Sensitivity!G$4,2)</f>
        <v>6.5</v>
      </c>
      <c r="C26" s="51">
        <f>ROUND(Sensitivity!G$5,2)</f>
        <v>19.28</v>
      </c>
      <c r="D26" s="53">
        <f>ROUND(Sensitivity!G10,0)</f>
        <v>706581</v>
      </c>
    </row>
  </sheetData>
  <pageMargins left="0.75" right="0.75" top="1" bottom="1" header="0.5" footer="0.5"/>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4"/>
  <sheetViews>
    <sheetView workbookViewId="0"/>
  </sheetViews>
  <sheetFormatPr baseColWidth="10" defaultColWidth="8.83203125" defaultRowHeight="15" x14ac:dyDescent="0.2"/>
  <cols>
    <col min="1" max="2" width="14" customWidth="1"/>
  </cols>
  <sheetData>
    <row r="1" spans="1:2" x14ac:dyDescent="0.2">
      <c r="A1" s="23" t="s">
        <v>225</v>
      </c>
      <c r="B1" s="23" t="s">
        <v>226</v>
      </c>
    </row>
    <row r="2" spans="1:2" x14ac:dyDescent="0.2">
      <c r="A2" s="51" t="s">
        <v>193</v>
      </c>
      <c r="B2" s="51">
        <f>ROUND(Sensitivity!B17,4)</f>
        <v>1.1573</v>
      </c>
    </row>
    <row r="3" spans="1:2" x14ac:dyDescent="0.2">
      <c r="A3" s="51" t="s">
        <v>194</v>
      </c>
      <c r="B3" s="51">
        <f>ROUND(Sensitivity!B20,2)</f>
        <v>6.67</v>
      </c>
    </row>
    <row r="4" spans="1:2" x14ac:dyDescent="0.2">
      <c r="A4" s="51" t="s">
        <v>227</v>
      </c>
      <c r="B4" s="51">
        <f>ROUND(Model!C43,2)</f>
        <v>3.33</v>
      </c>
    </row>
  </sheetData>
  <pageMargins left="0.75" right="0.75" top="1" bottom="1" header="0.5" footer="0.5"/>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F49"/>
  <sheetViews>
    <sheetView workbookViewId="0"/>
  </sheetViews>
  <sheetFormatPr baseColWidth="10" defaultColWidth="8.83203125" defaultRowHeight="15" x14ac:dyDescent="0.2"/>
  <cols>
    <col min="1" max="1" width="14" customWidth="1"/>
    <col min="2" max="2" width="17" customWidth="1"/>
    <col min="3" max="5" width="14" customWidth="1"/>
    <col min="6" max="6" width="23" customWidth="1"/>
  </cols>
  <sheetData>
    <row r="1" spans="1:6" x14ac:dyDescent="0.2">
      <c r="A1" s="23" t="s">
        <v>228</v>
      </c>
      <c r="B1" s="23" t="s">
        <v>229</v>
      </c>
      <c r="C1" s="23" t="s">
        <v>230</v>
      </c>
      <c r="D1" s="23" t="s">
        <v>231</v>
      </c>
      <c r="E1" s="23" t="s">
        <v>232</v>
      </c>
      <c r="F1" s="23" t="s">
        <v>233</v>
      </c>
    </row>
    <row r="2" spans="1:6" x14ac:dyDescent="0.2">
      <c r="A2" s="51" t="str">
        <f>Inputs!A7</f>
        <v>U.S. markets admissions revenue, 2025</v>
      </c>
      <c r="B2" s="51">
        <f>ROUND(Inputs!B7,6)</f>
        <v>1992</v>
      </c>
      <c r="C2" s="51" t="str">
        <f>IF(ISNUMBER(Inputs!C7),ROUND(Inputs!C7,6),"")</f>
        <v/>
      </c>
      <c r="D2" s="51" t="str">
        <f>IF(ISNUMBER(Inputs!D7),ROUND(Inputs!D7,6),"")</f>
        <v/>
      </c>
      <c r="E2" s="51" t="str">
        <f>IF(Inputs!F7="","",Inputs!F7)</f>
        <v>$ millions</v>
      </c>
      <c r="F2" s="51" t="str">
        <f>IF(Inputs!G7="","",Inputs!G7)</f>
        <v>AMC Entertainment Holdings, Form 10-K for fiscal 2025 (filed 2026-02-23), p. 49, Operating Results table (U.S. Markets).</v>
      </c>
    </row>
    <row r="3" spans="1:6" x14ac:dyDescent="0.2">
      <c r="A3" s="51" t="str">
        <f>Inputs!A8</f>
        <v>U.S. markets attendance, 2025</v>
      </c>
      <c r="B3" s="51">
        <f>ROUND(Inputs!B8,6)</f>
        <v>155810</v>
      </c>
      <c r="C3" s="51" t="str">
        <f>IF(ISNUMBER(Inputs!C8),ROUND(Inputs!C8,6),"")</f>
        <v/>
      </c>
      <c r="D3" s="51" t="str">
        <f>IF(ISNUMBER(Inputs!D8),ROUND(Inputs!D8,6),"")</f>
        <v/>
      </c>
      <c r="E3" s="51" t="str">
        <f>IF(Inputs!F8="","",Inputs!F8)</f>
        <v>thousands</v>
      </c>
      <c r="F3" s="51" t="str">
        <f>IF(Inputs!G8="","",Inputs!G8)</f>
        <v>AMC Entertainment Holdings, Form 10-K for fiscal 2025 (filed 2026-02-23), p. 49, Operating Data.</v>
      </c>
    </row>
    <row r="4" spans="1:6" x14ac:dyDescent="0.2">
      <c r="A4" s="51" t="str">
        <f>Inputs!A9</f>
        <v>U.S. markets average screens, 2025</v>
      </c>
      <c r="B4" s="51">
        <f>ROUND(Inputs!B9,6)</f>
        <v>7057</v>
      </c>
      <c r="C4" s="51" t="str">
        <f>IF(ISNUMBER(Inputs!C9),ROUND(Inputs!C9,6),"")</f>
        <v/>
      </c>
      <c r="D4" s="51" t="str">
        <f>IF(ISNUMBER(Inputs!D9),ROUND(Inputs!D9,6),"")</f>
        <v/>
      </c>
      <c r="E4" s="51" t="str">
        <f>IF(Inputs!F9="","",Inputs!F9)</f>
        <v>screens</v>
      </c>
      <c r="F4" s="51" t="str">
        <f>IF(Inputs!G9="","",Inputs!G9)</f>
        <v>AMC Entertainment Holdings, Form 10-K for fiscal 2025 (filed 2026-02-23), p. 49, Operating Data.</v>
      </c>
    </row>
    <row r="5" spans="1:6" x14ac:dyDescent="0.2">
      <c r="A5" s="51" t="str">
        <f>Inputs!A10</f>
        <v>U.S. markets operating expense, excluding depreciation and amortization, 2025</v>
      </c>
      <c r="B5" s="51">
        <f>ROUND(Inputs!B10,6)</f>
        <v>1327.1</v>
      </c>
      <c r="C5" s="51" t="str">
        <f>IF(ISNUMBER(Inputs!C10),ROUND(Inputs!C10,6),"")</f>
        <v/>
      </c>
      <c r="D5" s="51" t="str">
        <f>IF(ISNUMBER(Inputs!D10),ROUND(Inputs!D10,6),"")</f>
        <v/>
      </c>
      <c r="E5" s="51" t="str">
        <f>IF(Inputs!F10="","",Inputs!F10)</f>
        <v>$ millions</v>
      </c>
      <c r="F5" s="51" t="str">
        <f>IF(Inputs!G10="","",Inputs!G10)</f>
        <v>AMC Entertainment Holdings, Form 10-K for fiscal 2025 (filed 2026-02-23), p. 49, Operating Results table.</v>
      </c>
    </row>
    <row r="6" spans="1:6" x14ac:dyDescent="0.2">
      <c r="A6" s="51" t="str">
        <f>Inputs!A11</f>
        <v>U.S. film exhibition costs as % of admissions revenue, 2025</v>
      </c>
      <c r="B6" s="51">
        <f>ROUND(Inputs!B11,6)</f>
        <v>0.51200000000000001</v>
      </c>
      <c r="C6" s="51" t="str">
        <f>IF(ISNUMBER(Inputs!C11),ROUND(Inputs!C11,6),"")</f>
        <v/>
      </c>
      <c r="D6" s="51" t="str">
        <f>IF(ISNUMBER(Inputs!D11),ROUND(Inputs!D11,6),"")</f>
        <v/>
      </c>
      <c r="E6" s="51" t="str">
        <f>IF(Inputs!F11="","",Inputs!F11)</f>
        <v>%</v>
      </c>
      <c r="F6" s="51" t="str">
        <f>IF(Inputs!G11="","",Inputs!G11)</f>
        <v>AMC Entertainment Holdings, Form 10-K for fiscal 2025 (filed 2026-02-23), p. 55, Theatrical Exhibition - U.S. Markets.</v>
      </c>
    </row>
    <row r="7" spans="1:6" x14ac:dyDescent="0.2">
      <c r="A7" s="51" t="str">
        <f>Inputs!A12</f>
        <v>U.S. food and beverage costs as % of food and beverage revenue, 2025</v>
      </c>
      <c r="B7" s="51">
        <f>ROUND(Inputs!B12,6)</f>
        <v>0.18099999999999999</v>
      </c>
      <c r="C7" s="51" t="str">
        <f>IF(ISNUMBER(Inputs!C12),ROUND(Inputs!C12,6),"")</f>
        <v/>
      </c>
      <c r="D7" s="51" t="str">
        <f>IF(ISNUMBER(Inputs!D12),ROUND(Inputs!D12,6),"")</f>
        <v/>
      </c>
      <c r="E7" s="51" t="str">
        <f>IF(Inputs!F12="","",Inputs!F12)</f>
        <v>%</v>
      </c>
      <c r="F7" s="51" t="str">
        <f>IF(Inputs!G12="","",Inputs!G12)</f>
        <v>AMC Entertainment Holdings, Form 10-K for fiscal 2025 (filed 2026-02-23), p. 55.</v>
      </c>
    </row>
    <row r="8" spans="1:6" x14ac:dyDescent="0.2">
      <c r="A8" s="51" t="str">
        <f>Inputs!A13</f>
        <v>U.S. food and beverage revenue per patron, 2025</v>
      </c>
      <c r="B8" s="51">
        <f>ROUND(Inputs!B13,6)</f>
        <v>8.57</v>
      </c>
      <c r="C8" s="51" t="str">
        <f>IF(ISNUMBER(Inputs!C13),ROUND(Inputs!C13,6),"")</f>
        <v/>
      </c>
      <c r="D8" s="51" t="str">
        <f>IF(ISNUMBER(Inputs!D13),ROUND(Inputs!D13,6),"")</f>
        <v/>
      </c>
      <c r="E8" s="51" t="str">
        <f>IF(Inputs!F13="","",Inputs!F13)</f>
        <v>$</v>
      </c>
      <c r="F8" s="51" t="str">
        <f>IF(Inputs!G13="","",Inputs!G13)</f>
        <v>AMC Entertainment Holdings, Form 10-K for fiscal 2025 (filed 2026-02-23), p. 55.</v>
      </c>
    </row>
    <row r="9" spans="1:6" x14ac:dyDescent="0.2">
      <c r="A9" s="51" t="str">
        <f>Inputs!A14</f>
        <v>U.S. average ticket price change, 2025</v>
      </c>
      <c r="B9" s="51">
        <f>ROUND(Inputs!B14,6)</f>
        <v>4.5999999999999999E-2</v>
      </c>
      <c r="C9" s="51" t="str">
        <f>IF(ISNUMBER(Inputs!C14),ROUND(Inputs!C14,6),"")</f>
        <v/>
      </c>
      <c r="D9" s="51" t="str">
        <f>IF(ISNUMBER(Inputs!D14),ROUND(Inputs!D14,6),"")</f>
        <v/>
      </c>
      <c r="E9" s="51" t="str">
        <f>IF(Inputs!F14="","",Inputs!F14)</f>
        <v>%</v>
      </c>
      <c r="F9" s="51" t="str">
        <f>IF(Inputs!G14="","",Inputs!G14)</f>
        <v>AMC Entertainment Holdings, Form 10-K for fiscal 2025 (filed 2026-02-23), p. 55. Reference for the price growth assumption.</v>
      </c>
    </row>
    <row r="10" spans="1:6" x14ac:dyDescent="0.2">
      <c r="A10" s="51" t="str">
        <f>Inputs!A15</f>
        <v>U.S. food and beverage per patron change, 2025</v>
      </c>
      <c r="B10" s="51">
        <f>ROUND(Inputs!B15,6)</f>
        <v>3.3000000000000002E-2</v>
      </c>
      <c r="C10" s="51" t="str">
        <f>IF(ISNUMBER(Inputs!C15),ROUND(Inputs!C15,6),"")</f>
        <v/>
      </c>
      <c r="D10" s="51" t="str">
        <f>IF(ISNUMBER(Inputs!D15),ROUND(Inputs!D15,6),"")</f>
        <v/>
      </c>
      <c r="E10" s="51" t="str">
        <f>IF(Inputs!F15="","",Inputs!F15)</f>
        <v>%</v>
      </c>
      <c r="F10" s="51" t="str">
        <f>IF(Inputs!G15="","",Inputs!G15)</f>
        <v>AMC Entertainment Holdings, Form 10-K for fiscal 2025 (filed 2026-02-23), p. 55. Reference for the F&amp;B growth assumption.</v>
      </c>
    </row>
    <row r="11" spans="1:6" x14ac:dyDescent="0.2">
      <c r="A11" s="51" t="str">
        <f>Inputs!A16</f>
        <v>U.S. attendance change, 2025</v>
      </c>
      <c r="B11" s="51">
        <f>ROUND(Inputs!B16,6)</f>
        <v>-7.0000000000000001E-3</v>
      </c>
      <c r="C11" s="51" t="str">
        <f>IF(ISNUMBER(Inputs!C16),ROUND(Inputs!C16,6),"")</f>
        <v/>
      </c>
      <c r="D11" s="51" t="str">
        <f>IF(ISNUMBER(Inputs!D16),ROUND(Inputs!D16,6),"")</f>
        <v/>
      </c>
      <c r="E11" s="51" t="str">
        <f>IF(Inputs!F16="","",Inputs!F16)</f>
        <v>%</v>
      </c>
      <c r="F11" s="51" t="str">
        <f>IF(Inputs!G16="","",Inputs!G16)</f>
        <v>AMC Entertainment Holdings, Form 10-K for fiscal 2025 (filed 2026-02-23), p. 55 (156.9 million to 155.8 million patrons). Reference for the attendance trend.</v>
      </c>
    </row>
    <row r="12" spans="1:6" x14ac:dyDescent="0.2">
      <c r="A12" s="51" t="str">
        <f>Inputs!A17</f>
        <v>Discount rate AMC applied to U.S. theatre cash flows in impairment testing, Dec 31, 2025</v>
      </c>
      <c r="B12" s="51">
        <f>ROUND(Inputs!B17,6)</f>
        <v>9.5000000000000001E-2</v>
      </c>
      <c r="C12" s="51" t="str">
        <f>IF(ISNUMBER(Inputs!C17),ROUND(Inputs!C17,6),"")</f>
        <v/>
      </c>
      <c r="D12" s="51" t="str">
        <f>IF(ISNUMBER(Inputs!D17),ROUND(Inputs!D17,6),"")</f>
        <v/>
      </c>
      <c r="E12" s="51" t="str">
        <f>IF(Inputs!F17="","",Inputs!F17)</f>
        <v>%</v>
      </c>
      <c r="F12" s="51" t="str">
        <f>IF(Inputs!G17="","",Inputs!G17)</f>
        <v>AMC Entertainment Holdings, Form 10-K for fiscal 2025 (filed 2026-02-23), p. 46, Critical Accounting Estimates.</v>
      </c>
    </row>
    <row r="13" spans="1:6" x14ac:dyDescent="0.2">
      <c r="A13" s="51" t="str">
        <f>Inputs!A18</f>
        <v>Federal net operating loss carryforwards</v>
      </c>
      <c r="B13" s="51">
        <f>ROUND(Inputs!B18,6)</f>
        <v>1780.1</v>
      </c>
      <c r="C13" s="51" t="str">
        <f>IF(ISNUMBER(Inputs!C18),ROUND(Inputs!C18,6),"")</f>
        <v/>
      </c>
      <c r="D13" s="51" t="str">
        <f>IF(ISNUMBER(Inputs!D18),ROUND(Inputs!D18,6),"")</f>
        <v/>
      </c>
      <c r="E13" s="51" t="str">
        <f>IF(Inputs!F18="","",Inputs!F18)</f>
        <v>$ millions</v>
      </c>
      <c r="F13" s="51" t="str">
        <f>IF(Inputs!G18="","",Inputs!G18)</f>
        <v>AMC Entertainment Holdings, Form 10-K for fiscal 2025 (filed 2026-02-23), p. 121, Note 9 Income Taxes. A valuation allowance is held against U.S. deferred tax assets (p. 119).</v>
      </c>
    </row>
    <row r="14" spans="1:6" x14ac:dyDescent="0.2">
      <c r="A14" s="51" t="str">
        <f>Inputs!A19</f>
        <v>IMAX technology rentals revenue, 2025</v>
      </c>
      <c r="B14" s="51">
        <f>ROUND(Inputs!B19,6)</f>
        <v>82218</v>
      </c>
      <c r="C14" s="51" t="str">
        <f>IF(ISNUMBER(Inputs!C19),ROUND(Inputs!C19,6),"")</f>
        <v/>
      </c>
      <c r="D14" s="51" t="str">
        <f>IF(ISNUMBER(Inputs!D19),ROUND(Inputs!D19,6),"")</f>
        <v/>
      </c>
      <c r="E14" s="51" t="str">
        <f>IF(Inputs!F19="","",Inputs!F19)</f>
        <v>$ thousands</v>
      </c>
      <c r="F14" s="51" t="str">
        <f>IF(Inputs!G19="","",Inputs!G19)</f>
        <v>IMAX Corporation, Form 10-K for fiscal 2025 (filed 2026-02-25), p. 66, Consolidated Statements of Operations. Rentals come mainly from box-office shares under joint revenue sharing arrangements (JRSAs), p. 52.</v>
      </c>
    </row>
    <row r="15" spans="1:6" x14ac:dyDescent="0.2">
      <c r="A15" s="51" t="str">
        <f>Inputs!A20</f>
        <v>Box office generated by IMAX JRSA locations, 2025</v>
      </c>
      <c r="B15" s="51">
        <f>ROUND(Inputs!B20,6)</f>
        <v>560.20000000000005</v>
      </c>
      <c r="C15" s="51" t="str">
        <f>IF(ISNUMBER(Inputs!C20),ROUND(Inputs!C20,6),"")</f>
        <v/>
      </c>
      <c r="D15" s="51" t="str">
        <f>IF(ISNUMBER(Inputs!D20),ROUND(Inputs!D20,6),"")</f>
        <v/>
      </c>
      <c r="E15" s="51" t="str">
        <f>IF(Inputs!F20="","",Inputs!F20)</f>
        <v>$ millions</v>
      </c>
      <c r="F15" s="51" t="str">
        <f>IF(Inputs!G20="","",Inputs!G20)</f>
        <v>IMAX Corporation, Form 10-K for fiscal 2025 (filed 2026-02-25), p. 52, Technology Products and Services.</v>
      </c>
    </row>
    <row r="16" spans="1:6" x14ac:dyDescent="0.2">
      <c r="A16" s="51" t="str">
        <f>Inputs!A21</f>
        <v>IMAX revenue recognized on new systems installed, 2025</v>
      </c>
      <c r="B16" s="51">
        <f>ROUND(Inputs!B21,6)</f>
        <v>62388</v>
      </c>
      <c r="C16" s="51" t="str">
        <f>IF(ISNUMBER(Inputs!C21),ROUND(Inputs!C21,6),"")</f>
        <v/>
      </c>
      <c r="D16" s="51" t="str">
        <f>IF(ISNUMBER(Inputs!D21),ROUND(Inputs!D21,6),"")</f>
        <v/>
      </c>
      <c r="E16" s="51" t="str">
        <f>IF(Inputs!F21="","",Inputs!F21)</f>
        <v>$ thousands</v>
      </c>
      <c r="F16" s="51" t="str">
        <f>IF(Inputs!G21="","",Inputs!G21)</f>
        <v>IMAX Corporation, Form 10-K for fiscal 2025 (filed 2026-02-25), p. 52 (excludes traditional JRSAs, which are recognized over the lease term).</v>
      </c>
    </row>
    <row r="17" spans="1:6" x14ac:dyDescent="0.2">
      <c r="A17" s="51" t="str">
        <f>Inputs!A22</f>
        <v>New IMAX systems installed, 2025</v>
      </c>
      <c r="B17" s="51">
        <f>ROUND(Inputs!B22,6)</f>
        <v>70</v>
      </c>
      <c r="C17" s="51" t="str">
        <f>IF(ISNUMBER(Inputs!C22),ROUND(Inputs!C22,6),"")</f>
        <v/>
      </c>
      <c r="D17" s="51" t="str">
        <f>IF(ISNUMBER(Inputs!D22),ROUND(Inputs!D22,6),"")</f>
        <v/>
      </c>
      <c r="E17" s="51" t="str">
        <f>IF(Inputs!F22="","",Inputs!F22)</f>
        <v>systems</v>
      </c>
      <c r="F17" s="51" t="str">
        <f>IF(Inputs!G22="","",Inputs!G22)</f>
        <v>IMAX Corporation, Form 10-K for fiscal 2025 (filed 2026-02-25), p. 52.</v>
      </c>
    </row>
    <row r="18" spans="1:6" x14ac:dyDescent="0.2">
      <c r="A18" s="51" t="str">
        <f>Inputs!A23</f>
        <v>IMAX share of domestic (U.S. and Canada) box office, 2025</v>
      </c>
      <c r="B18" s="51">
        <f>ROUND(Inputs!B23,6)</f>
        <v>5.1999999999999998E-2</v>
      </c>
      <c r="C18" s="51" t="str">
        <f>IF(ISNUMBER(Inputs!C23),ROUND(Inputs!C23,6),"")</f>
        <v/>
      </c>
      <c r="D18" s="51" t="str">
        <f>IF(ISNUMBER(Inputs!D23),ROUND(Inputs!D23,6),"")</f>
        <v/>
      </c>
      <c r="E18" s="51" t="str">
        <f>IF(Inputs!F23="","",Inputs!F23)</f>
        <v>%</v>
      </c>
      <c r="F18" s="51" t="str">
        <f>IF(Inputs!G23="","",Inputs!G23)</f>
        <v>IMAX Corporation, Form 10-K for fiscal 2025 (filed 2026-02-25), p. 6.</v>
      </c>
    </row>
    <row r="19" spans="1:6" x14ac:dyDescent="0.2">
      <c r="A19" s="51" t="str">
        <f>Inputs!A24</f>
        <v>IMAX share of domestic screens</v>
      </c>
      <c r="B19" s="51">
        <f>ROUND(Inputs!B24,6)</f>
        <v>0.01</v>
      </c>
      <c r="C19" s="51" t="str">
        <f>IF(ISNUMBER(Inputs!C24),ROUND(Inputs!C24,6),"")</f>
        <v/>
      </c>
      <c r="D19" s="51" t="str">
        <f>IF(ISNUMBER(Inputs!D24),ROUND(Inputs!D24,6),"")</f>
        <v/>
      </c>
      <c r="E19" s="51" t="str">
        <f>IF(Inputs!F24="","",Inputs!F24)</f>
        <v>%</v>
      </c>
      <c r="F19" s="51" t="str">
        <f>IF(Inputs!G24="","",Inputs!G24)</f>
        <v>IMAX Corporation, Form 10-K for fiscal 2025 (filed 2026-02-25), p. 6 ("approximately 1% of domestic screens").</v>
      </c>
    </row>
    <row r="20" spans="1:6" x14ac:dyDescent="0.2">
      <c r="A20" s="51" t="str">
        <f>Inputs!A25</f>
        <v>Typical initial non-cancellable JRSA term</v>
      </c>
      <c r="B20" s="51">
        <f>ROUND(Inputs!B25,6)</f>
        <v>10</v>
      </c>
      <c r="C20" s="51" t="str">
        <f>IF(ISNUMBER(Inputs!C25),ROUND(Inputs!C25,6),"")</f>
        <v/>
      </c>
      <c r="D20" s="51" t="str">
        <f>IF(ISNUMBER(Inputs!D25),ROUND(Inputs!D25,6),"")</f>
        <v/>
      </c>
      <c r="E20" s="51" t="str">
        <f>IF(Inputs!F25="","",Inputs!F25)</f>
        <v>years</v>
      </c>
      <c r="F20" s="51" t="str">
        <f>IF(Inputs!G25="","",Inputs!G25)</f>
        <v>IMAX Corporation, Form 10-K for fiscal 2025 (filed 2026-02-25), p. 42. Sets the 10-year model horizon.</v>
      </c>
    </row>
    <row r="21" spans="1:6" x14ac:dyDescent="0.2">
      <c r="A21" s="51" t="str">
        <f>Inputs!A29</f>
        <v>U.S. average ticket price, 2025</v>
      </c>
      <c r="B21" s="55">
        <f>ROUND(Inputs!B29,6)</f>
        <v>12.784802000000001</v>
      </c>
      <c r="C21" s="51" t="str">
        <f>IF(ISNUMBER(Inputs!C29),ROUND(Inputs!C29,6),"")</f>
        <v/>
      </c>
      <c r="D21" s="51" t="str">
        <f>IF(ISNUMBER(Inputs!D29),ROUND(Inputs!D29,6),"")</f>
        <v/>
      </c>
      <c r="E21" s="51" t="str">
        <f>IF(Inputs!F29="","",Inputs!F29)</f>
        <v>$</v>
      </c>
      <c r="F21" s="51" t="str">
        <f>IF(Inputs!G29="","",Inputs!G29)</f>
        <v>Admissions revenue / attendance.</v>
      </c>
    </row>
    <row r="22" spans="1:6" x14ac:dyDescent="0.2">
      <c r="A22" s="51" t="str">
        <f>Inputs!A30</f>
        <v>U.S. attendance per average screen, 2025</v>
      </c>
      <c r="B22" s="55">
        <f>ROUND(Inputs!B30,6)</f>
        <v>22078.78702</v>
      </c>
      <c r="C22" s="51" t="str">
        <f>IF(ISNUMBER(Inputs!C30),ROUND(Inputs!C30,6),"")</f>
        <v/>
      </c>
      <c r="D22" s="51" t="str">
        <f>IF(ISNUMBER(Inputs!D30),ROUND(Inputs!D30,6),"")</f>
        <v/>
      </c>
      <c r="E22" s="51" t="str">
        <f>IF(Inputs!F30="","",Inputs!F30)</f>
        <v>patrons</v>
      </c>
      <c r="F22" s="51" t="str">
        <f>IF(Inputs!G30="","",Inputs!G30)</f>
        <v>Attendance / average screens.</v>
      </c>
    </row>
    <row r="23" spans="1:6" x14ac:dyDescent="0.2">
      <c r="A23" s="51" t="str">
        <f>Inputs!A31</f>
        <v>U.S. operating expense per average screen, 2025</v>
      </c>
      <c r="B23" s="55">
        <f>ROUND(Inputs!B31,6)</f>
        <v>188054.41405699999</v>
      </c>
      <c r="C23" s="51" t="str">
        <f>IF(ISNUMBER(Inputs!C31),ROUND(Inputs!C31,6),"")</f>
        <v/>
      </c>
      <c r="D23" s="51" t="str">
        <f>IF(ISNUMBER(Inputs!D31),ROUND(Inputs!D31,6),"")</f>
        <v/>
      </c>
      <c r="E23" s="51" t="str">
        <f>IF(Inputs!F31="","",Inputs!F31)</f>
        <v>$</v>
      </c>
      <c r="F23" s="51" t="str">
        <f>IF(Inputs!G31="","",Inputs!G31)</f>
        <v>Operating expense / average screens.</v>
      </c>
    </row>
    <row r="24" spans="1:6" x14ac:dyDescent="0.2">
      <c r="A24" s="51" t="str">
        <f>Inputs!A32</f>
        <v>IMAX rentals as % of JRSA box office, 2025</v>
      </c>
      <c r="B24" s="55">
        <f>ROUND(Inputs!B32,6)</f>
        <v>0.14676500000000001</v>
      </c>
      <c r="C24" s="51" t="str">
        <f>IF(ISNUMBER(Inputs!C32),ROUND(Inputs!C32,6),"")</f>
        <v/>
      </c>
      <c r="D24" s="51" t="str">
        <f>IF(ISNUMBER(Inputs!D32),ROUND(Inputs!D32,6),"")</f>
        <v/>
      </c>
      <c r="E24" s="51" t="str">
        <f>IF(Inputs!F32="","",Inputs!F32)</f>
        <v>%</v>
      </c>
      <c r="F24" s="51" t="str">
        <f>IF(Inputs!G32="","",Inputs!G32)</f>
        <v>Rentals / JRSA box office. A blended effective rate across traditional and hybrid JRSAs.</v>
      </c>
    </row>
    <row r="25" spans="1:6" x14ac:dyDescent="0.2">
      <c r="A25" s="51" t="str">
        <f>Inputs!A33</f>
        <v>IMAX revenue per new system installed, 2025</v>
      </c>
      <c r="B25" s="55">
        <f>ROUND(Inputs!B33,6)</f>
        <v>891257.142857</v>
      </c>
      <c r="C25" s="51" t="str">
        <f>IF(ISNUMBER(Inputs!C33),ROUND(Inputs!C33,6),"")</f>
        <v/>
      </c>
      <c r="D25" s="51" t="str">
        <f>IF(ISNUMBER(Inputs!D33),ROUND(Inputs!D33,6),"")</f>
        <v/>
      </c>
      <c r="E25" s="51" t="str">
        <f>IF(Inputs!F33="","",Inputs!F33)</f>
        <v>$</v>
      </c>
      <c r="F25" s="51" t="str">
        <f>IF(Inputs!G33="","",Inputs!G33)</f>
        <v>Revenue on new systems / systems installed. Mix of sales and hybrid deals.</v>
      </c>
    </row>
    <row r="26" spans="1:6" x14ac:dyDescent="0.2">
      <c r="A26" s="51" t="str">
        <f>Inputs!A34</f>
        <v>IMAX box office per screen vs. average domestic screen</v>
      </c>
      <c r="B26" s="55">
        <f>ROUND(Inputs!B34,6)</f>
        <v>5.2</v>
      </c>
      <c r="C26" s="51" t="str">
        <f>IF(ISNUMBER(Inputs!C34),ROUND(Inputs!C34,6),"")</f>
        <v/>
      </c>
      <c r="D26" s="51" t="str">
        <f>IF(ISNUMBER(Inputs!D34),ROUND(Inputs!D34,6),"")</f>
        <v/>
      </c>
      <c r="E26" s="51" t="str">
        <f>IF(Inputs!F34="","",Inputs!F34)</f>
        <v>x</v>
      </c>
      <c r="F26" s="51" t="str">
        <f>IF(Inputs!G34="","",Inputs!G34)</f>
        <v>Box office share / screen share.</v>
      </c>
    </row>
    <row r="27" spans="1:6" x14ac:dyDescent="0.2">
      <c r="A27" s="51" t="str">
        <f>Inputs!A38</f>
        <v>Attendance of the screen chosen for conversion vs. average U.S. screen</v>
      </c>
      <c r="B27" s="51">
        <f>ROUND(Inputs!B38,6)</f>
        <v>1.25</v>
      </c>
      <c r="C27" s="51" t="str">
        <f>IF(ISNUMBER(Inputs!C38),ROUND(Inputs!C38,6),"")</f>
        <v/>
      </c>
      <c r="D27" s="51" t="str">
        <f>IF(ISNUMBER(Inputs!D38),ROUND(Inputs!D38,6),"")</f>
        <v/>
      </c>
      <c r="E27" s="51" t="str">
        <f>IF(Inputs!F38="","",Inputs!F38)</f>
        <v>x</v>
      </c>
      <c r="F27" s="51" t="str">
        <f>IF(Inputs!G38="","",Inputs!G38)</f>
        <v>Chains convert their largest, busiest auditoriums. No public figure.</v>
      </c>
    </row>
    <row r="28" spans="1:6" x14ac:dyDescent="0.2">
      <c r="A28" s="51" t="str">
        <f>Inputs!A39</f>
        <v>Share of premium tickets sold without the premium surcharge</v>
      </c>
      <c r="B28" s="51">
        <f>ROUND(Inputs!B39,6)</f>
        <v>0.15</v>
      </c>
      <c r="C28" s="51" t="str">
        <f>IF(ISNUMBER(Inputs!C39),ROUND(Inputs!C39,6),"")</f>
        <v/>
      </c>
      <c r="D28" s="51" t="str">
        <f>IF(ISNUMBER(Inputs!D39),ROUND(Inputs!D39,6),"")</f>
        <v/>
      </c>
      <c r="E28" s="51" t="str">
        <f>IF(Inputs!F39="","",Inputs!F39)</f>
        <v>%</v>
      </c>
      <c r="F28" s="51" t="str">
        <f>IF(Inputs!G39="","",Inputs!G39)</f>
        <v>A-List subscribers can book IMAX and Dolby Cinema at no extra cost (AMC 10-K, p. 8). The share is assumed.</v>
      </c>
    </row>
    <row r="29" spans="1:6" x14ac:dyDescent="0.2">
      <c r="A29" s="51" t="str">
        <f>Inputs!A40</f>
        <v>Premium projection and sound system per screen</v>
      </c>
      <c r="B29" s="55">
        <f>ROUND(Inputs!B40,6)</f>
        <v>891257.142857</v>
      </c>
      <c r="C29" s="51" t="str">
        <f>IF(ISNUMBER(Inputs!C40),ROUND(Inputs!C40,6),"")</f>
        <v/>
      </c>
      <c r="D29" s="51" t="str">
        <f>IF(ISNUMBER(Inputs!D40),ROUND(Inputs!D40,6),"")</f>
        <v/>
      </c>
      <c r="E29" s="51" t="str">
        <f>IF(Inputs!F40="","",Inputs!F40)</f>
        <v>$</v>
      </c>
      <c r="F29" s="51" t="str">
        <f>IF(Inputs!G40="","",Inputs!G40)</f>
        <v>Proxy: IMAX's average revenue per new system installed in 2025 (section B). Applied in every scenario whatever the deal type; under a traditional JRSA, IMAX carries most of this cost, so the downside (blended JRSA share plus full equipment cost) is conservative.</v>
      </c>
    </row>
    <row r="30" spans="1:6" x14ac:dyDescent="0.2">
      <c r="A30" s="51" t="str">
        <f>Inputs!A41</f>
        <v>Auditorium construction per screen (screen wall, sound, seating, structure)</v>
      </c>
      <c r="B30" s="51">
        <f>ROUND(Inputs!B41,6)</f>
        <v>500000</v>
      </c>
      <c r="C30" s="51" t="str">
        <f>IF(ISNUMBER(Inputs!C41),ROUND(Inputs!C41,6),"")</f>
        <v/>
      </c>
      <c r="D30" s="51" t="str">
        <f>IF(ISNUMBER(Inputs!D41),ROUND(Inputs!D41,6),"")</f>
        <v/>
      </c>
      <c r="E30" s="51" t="str">
        <f>IF(Inputs!F41="","",Inputs!F41)</f>
        <v>$</v>
      </c>
      <c r="F30" s="51" t="str">
        <f>IF(Inputs!G41="","",Inputs!G41)</f>
        <v>No per-screen figure in the AMC or IMAX filings. Assumed.</v>
      </c>
    </row>
    <row r="31" spans="1:6" x14ac:dyDescent="0.2">
      <c r="A31" s="51" t="str">
        <f>Inputs!A42</f>
        <v>Conversion cost estimate per screen</v>
      </c>
      <c r="B31" s="55">
        <f>ROUND(Inputs!B42,6)</f>
        <v>1391257.142857</v>
      </c>
      <c r="C31" s="51" t="str">
        <f>IF(ISNUMBER(Inputs!C42),ROUND(Inputs!C42,6),"")</f>
        <v/>
      </c>
      <c r="D31" s="51" t="str">
        <f>IF(ISNUMBER(Inputs!D42),ROUND(Inputs!D42,6),"")</f>
        <v/>
      </c>
      <c r="E31" s="51" t="str">
        <f>IF(Inputs!F42="","",Inputs!F42)</f>
        <v>$</v>
      </c>
      <c r="F31" s="51" t="str">
        <f>IF(Inputs!G42="","",Inputs!G42)</f>
        <v>Equipment + construction. Scenarios scale this (section D).</v>
      </c>
    </row>
    <row r="32" spans="1:6" x14ac:dyDescent="0.2">
      <c r="A32" s="51" t="str">
        <f>Inputs!A43</f>
        <v>Weeks the screen is closed for conversion</v>
      </c>
      <c r="B32" s="51">
        <f>ROUND(Inputs!B43,6)</f>
        <v>8</v>
      </c>
      <c r="C32" s="51" t="str">
        <f>IF(ISNUMBER(Inputs!C43),ROUND(Inputs!C43,6),"")</f>
        <v/>
      </c>
      <c r="D32" s="51" t="str">
        <f>IF(ISNUMBER(Inputs!D43),ROUND(Inputs!D43,6),"")</f>
        <v/>
      </c>
      <c r="E32" s="51" t="str">
        <f>IF(Inputs!F43="","",Inputs!F43)</f>
        <v>weeks</v>
      </c>
      <c r="F32" s="51" t="str">
        <f>IF(Inputs!G43="","",Inputs!G43)</f>
        <v>Assumed.</v>
      </c>
    </row>
    <row r="33" spans="1:6" x14ac:dyDescent="0.2">
      <c r="A33" s="51" t="str">
        <f>Inputs!A44</f>
        <v>Extra operating cost of a premium screen, % of average screen operating expense</v>
      </c>
      <c r="B33" s="51">
        <f>ROUND(Inputs!B44,6)</f>
        <v>0.15</v>
      </c>
      <c r="C33" s="51" t="str">
        <f>IF(ISNUMBER(Inputs!C44),ROUND(Inputs!C44,6),"")</f>
        <v/>
      </c>
      <c r="D33" s="51" t="str">
        <f>IF(ISNUMBER(Inputs!D44),ROUND(Inputs!D44,6),"")</f>
        <v/>
      </c>
      <c r="E33" s="51" t="str">
        <f>IF(Inputs!F44="","",Inputs!F44)</f>
        <v>%</v>
      </c>
      <c r="F33" s="51" t="str">
        <f>IF(Inputs!G44="","",Inputs!G44)</f>
        <v>Annual maintenance fee (IMAX 10-K, p. 10, amount not disclosed), extra power and seat upkeep. Assumed.</v>
      </c>
    </row>
    <row r="34" spans="1:6" x14ac:dyDescent="0.2">
      <c r="A34" s="51" t="str">
        <f>Inputs!A45</f>
        <v>Ticket price growth per year</v>
      </c>
      <c r="B34" s="51">
        <f>ROUND(Inputs!B45,6)</f>
        <v>0.03</v>
      </c>
      <c r="C34" s="51" t="str">
        <f>IF(ISNUMBER(Inputs!C45),ROUND(Inputs!C45,6),"")</f>
        <v/>
      </c>
      <c r="D34" s="51" t="str">
        <f>IF(ISNUMBER(Inputs!D45),ROUND(Inputs!D45,6),"")</f>
        <v/>
      </c>
      <c r="E34" s="51" t="str">
        <f>IF(Inputs!F45="","",Inputs!F45)</f>
        <v>%</v>
      </c>
      <c r="F34" s="51" t="str">
        <f>IF(Inputs!G45="","",Inputs!G45)</f>
        <v>Below the 4.6% U.S. increase in 2025 (section A), held at a long-run rate. Applies to standard and premium prices.</v>
      </c>
    </row>
    <row r="35" spans="1:6" x14ac:dyDescent="0.2">
      <c r="A35" s="51" t="str">
        <f>Inputs!A46</f>
        <v>Food and beverage per patron growth per year</v>
      </c>
      <c r="B35" s="51">
        <f>ROUND(Inputs!B46,6)</f>
        <v>0.03</v>
      </c>
      <c r="C35" s="51" t="str">
        <f>IF(ISNUMBER(Inputs!C46),ROUND(Inputs!C46,6),"")</f>
        <v/>
      </c>
      <c r="D35" s="51" t="str">
        <f>IF(ISNUMBER(Inputs!D46),ROUND(Inputs!D46,6),"")</f>
        <v/>
      </c>
      <c r="E35" s="51" t="str">
        <f>IF(Inputs!F46="","",Inputs!F46)</f>
        <v>%</v>
      </c>
      <c r="F35" s="51" t="str">
        <f>IF(Inputs!G46="","",Inputs!G46)</f>
        <v>Close to the 3.3% U.S. increase in 2025 (section A).</v>
      </c>
    </row>
    <row r="36" spans="1:6" x14ac:dyDescent="0.2">
      <c r="A36" s="51" t="str">
        <f>Inputs!A47</f>
        <v>Operating cost inflation per year</v>
      </c>
      <c r="B36" s="51">
        <f>ROUND(Inputs!B47,6)</f>
        <v>0.03</v>
      </c>
      <c r="C36" s="51" t="str">
        <f>IF(ISNUMBER(Inputs!C47),ROUND(Inputs!C47,6),"")</f>
        <v/>
      </c>
      <c r="D36" s="51" t="str">
        <f>IF(ISNUMBER(Inputs!D47),ROUND(Inputs!D47,6),"")</f>
        <v/>
      </c>
      <c r="E36" s="51" t="str">
        <f>IF(Inputs!F47="","",Inputs!F47)</f>
        <v>%</v>
      </c>
      <c r="F36" s="51" t="str">
        <f>IF(Inputs!G47="","",Inputs!G47)</f>
        <v>Assumed.</v>
      </c>
    </row>
    <row r="37" spans="1:6" x14ac:dyDescent="0.2">
      <c r="A37" s="51" t="str">
        <f>Inputs!A48</f>
        <v>Attendance trend per year</v>
      </c>
      <c r="B37" s="51">
        <f>ROUND(Inputs!B48,6)</f>
        <v>0</v>
      </c>
      <c r="C37" s="51" t="str">
        <f>IF(ISNUMBER(Inputs!C48),ROUND(Inputs!C48,6),"")</f>
        <v/>
      </c>
      <c r="D37" s="51" t="str">
        <f>IF(ISNUMBER(Inputs!D48),ROUND(Inputs!D48,6),"")</f>
        <v/>
      </c>
      <c r="E37" s="51" t="str">
        <f>IF(Inputs!F48="","",Inputs!F48)</f>
        <v>%</v>
      </c>
      <c r="F37" s="51" t="str">
        <f>IF(Inputs!G48="","",Inputs!G48)</f>
        <v>U.S. attendance fell 0.7% in 2025 (section A); held flat.</v>
      </c>
    </row>
    <row r="38" spans="1:6" x14ac:dyDescent="0.2">
      <c r="A38" s="51" t="str">
        <f>Inputs!A49</f>
        <v>Cash tax rate on incremental profit</v>
      </c>
      <c r="B38" s="51">
        <f>ROUND(Inputs!B49,6)</f>
        <v>0</v>
      </c>
      <c r="C38" s="51" t="str">
        <f>IF(ISNUMBER(Inputs!C49),ROUND(Inputs!C49,6),"")</f>
        <v/>
      </c>
      <c r="D38" s="51" t="str">
        <f>IF(ISNUMBER(Inputs!D49),ROUND(Inputs!D49,6),"")</f>
        <v/>
      </c>
      <c r="E38" s="51" t="str">
        <f>IF(Inputs!F49="","",Inputs!F49)</f>
        <v>%</v>
      </c>
      <c r="F38" s="51" t="str">
        <f>IF(Inputs!G49="","",Inputs!G49)</f>
        <v>AMC's federal NOLs (section A) shelter profit over the 10-year window. Raise to test a taxpaying owner; years with a tax loss are assumed to offset other taxable income.</v>
      </c>
    </row>
    <row r="39" spans="1:6" x14ac:dyDescent="0.2">
      <c r="A39" s="51" t="str">
        <f>Inputs!A50</f>
        <v>Depreciation life of the conversion</v>
      </c>
      <c r="B39" s="51">
        <f>ROUND(Inputs!B50,6)</f>
        <v>10</v>
      </c>
      <c r="C39" s="51" t="str">
        <f>IF(ISNUMBER(Inputs!C50),ROUND(Inputs!C50,6),"")</f>
        <v/>
      </c>
      <c r="D39" s="51" t="str">
        <f>IF(ISNUMBER(Inputs!D50),ROUND(Inputs!D50,6),"")</f>
        <v/>
      </c>
      <c r="E39" s="51" t="str">
        <f>IF(Inputs!F50="","",Inputs!F50)</f>
        <v>years</v>
      </c>
      <c r="F39" s="51" t="str">
        <f>IF(Inputs!G50="","",Inputs!G50)</f>
        <v>Matches the JRSA term (section A).</v>
      </c>
    </row>
    <row r="40" spans="1:6" x14ac:dyDescent="0.2">
      <c r="A40" s="51" t="str">
        <f>Inputs!A51</f>
        <v>Residual value at the end of year 10, % of conversion cost</v>
      </c>
      <c r="B40" s="51">
        <f>ROUND(Inputs!B51,6)</f>
        <v>0</v>
      </c>
      <c r="C40" s="51" t="str">
        <f>IF(ISNUMBER(Inputs!C51),ROUND(Inputs!C51,6),"")</f>
        <v/>
      </c>
      <c r="D40" s="51" t="str">
        <f>IF(ISNUMBER(Inputs!D51),ROUND(Inputs!D51,6),"")</f>
        <v/>
      </c>
      <c r="E40" s="51" t="str">
        <f>IF(Inputs!F51="","",Inputs!F51)</f>
        <v>%</v>
      </c>
      <c r="F40" s="51" t="str">
        <f>IF(Inputs!G51="","",Inputs!G51)</f>
        <v>Equipment returns to IMAX at the end of a JRSA (IMAX 10-K, p. 42). Assumed zero.</v>
      </c>
    </row>
    <row r="41" spans="1:6" x14ac:dyDescent="0.2">
      <c r="A41" s="51" t="str">
        <f>Inputs!A52</f>
        <v>Discount rate</v>
      </c>
      <c r="B41" s="55">
        <f>ROUND(Inputs!B52,6)</f>
        <v>9.5000000000000001E-2</v>
      </c>
      <c r="C41" s="51" t="str">
        <f>IF(ISNUMBER(Inputs!C52),ROUND(Inputs!C52,6),"")</f>
        <v/>
      </c>
      <c r="D41" s="51" t="str">
        <f>IF(ISNUMBER(Inputs!D52),ROUND(Inputs!D52,6),"")</f>
        <v/>
      </c>
      <c r="E41" s="51" t="str">
        <f>IF(Inputs!F52="","",Inputs!F52)</f>
        <v>%</v>
      </c>
      <c r="F41" s="51" t="str">
        <f>IF(Inputs!G52="","",Inputs!G52)</f>
        <v>AMC's own rate for U.S. theatre cash flows (section A).</v>
      </c>
    </row>
    <row r="42" spans="1:6" x14ac:dyDescent="0.2">
      <c r="A42" s="51" t="str">
        <f>Inputs!A56</f>
        <v>Attendance uplift on the converted screen</v>
      </c>
      <c r="B42" s="51">
        <f>ROUND(Inputs!B56,6)</f>
        <v>1</v>
      </c>
      <c r="C42" s="51">
        <f>IF(ISNUMBER(Inputs!C56),ROUND(Inputs!C56,6),"")</f>
        <v>1.5</v>
      </c>
      <c r="D42" s="51">
        <f>IF(ISNUMBER(Inputs!D56),ROUND(Inputs!D56,6),"")</f>
        <v>0.5</v>
      </c>
      <c r="E42" s="51" t="str">
        <f>IF(Inputs!F56="","",Inputs!F56)</f>
        <v>%</v>
      </c>
      <c r="F42" s="51" t="str">
        <f>IF(Inputs!G56="","",Inputs!G56)</f>
        <v>Assumed. IMAX screens take about five times the box office of an average screen (section B); the Model sheet shows the converted screen's multiple for comparison.</v>
      </c>
    </row>
    <row r="43" spans="1:6" x14ac:dyDescent="0.2">
      <c r="A43" s="51" t="str">
        <f>Inputs!A57</f>
        <v>Premium surcharge per ticket, year 1</v>
      </c>
      <c r="B43" s="51">
        <f>ROUND(Inputs!B57,6)</f>
        <v>5</v>
      </c>
      <c r="C43" s="51">
        <f>IF(ISNUMBER(Inputs!C57),ROUND(Inputs!C57,6),"")</f>
        <v>6.5</v>
      </c>
      <c r="D43" s="51">
        <f>IF(ISNUMBER(Inputs!D57),ROUND(Inputs!D57,6),"")</f>
        <v>3.5</v>
      </c>
      <c r="E43" s="51" t="str">
        <f>IF(Inputs!F57="","",Inputs!F57)</f>
        <v>$</v>
      </c>
      <c r="F43" s="51" t="str">
        <f>IF(Inputs!G57="","",Inputs!G57)</f>
        <v>Assumed. AMC does not publish prices by format.</v>
      </c>
    </row>
    <row r="44" spans="1:6" x14ac:dyDescent="0.2">
      <c r="A44" s="51" t="str">
        <f>Inputs!A58</f>
        <v>Share of the extra attendance moved from other screens in the same theatre</v>
      </c>
      <c r="B44" s="51">
        <f>ROUND(Inputs!B58,6)</f>
        <v>0.5</v>
      </c>
      <c r="C44" s="51">
        <f>IF(ISNUMBER(Inputs!C58),ROUND(Inputs!C58,6),"")</f>
        <v>0.35</v>
      </c>
      <c r="D44" s="51">
        <f>IF(ISNUMBER(Inputs!D58),ROUND(Inputs!D58,6),"")</f>
        <v>0.65</v>
      </c>
      <c r="E44" s="51" t="str">
        <f>IF(Inputs!F58="","",Inputs!F58)</f>
        <v>%</v>
      </c>
      <c r="F44" s="51" t="str">
        <f>IF(Inputs!G58="","",Inputs!G58)</f>
        <v>Assumed. Some premium patrons would have seen the same film on a standard screen.</v>
      </c>
    </row>
    <row r="45" spans="1:6" x14ac:dyDescent="0.2">
      <c r="A45" s="51" t="str">
        <f>Inputs!A59</f>
        <v>Format partner's share of the converted screen's box office</v>
      </c>
      <c r="B45" s="51">
        <f>ROUND(Inputs!B59,6)</f>
        <v>0.1</v>
      </c>
      <c r="C45" s="51">
        <f>IF(ISNUMBER(Inputs!C59),ROUND(Inputs!C59,6),"")</f>
        <v>7.4999999999999997E-2</v>
      </c>
      <c r="D45" s="55">
        <f>IF(ISNUMBER(Inputs!D59),ROUND(Inputs!D59,6),"")</f>
        <v>0.14676500000000001</v>
      </c>
      <c r="E45" s="51" t="str">
        <f>IF(Inputs!F59="","",Inputs!F59)</f>
        <v>%</v>
      </c>
      <c r="F45" s="51" t="str">
        <f>IF(Inputs!G59="","",Inputs!G59)</f>
        <v>Base: hybrid-style deal; IMAX says the hybrid box-office percentage is typically half the traditional rate (IMAX 10-K, p. 42). Downside: IMAX's blended 2025 JRSA rate (section B). Upside: assumed.</v>
      </c>
    </row>
    <row r="46" spans="1:6" x14ac:dyDescent="0.2">
      <c r="A46" s="51" t="str">
        <f>Inputs!A60</f>
        <v>Conversion cost vs. estimate</v>
      </c>
      <c r="B46" s="51">
        <f>ROUND(Inputs!B60,6)</f>
        <v>1</v>
      </c>
      <c r="C46" s="51">
        <f>IF(ISNUMBER(Inputs!C60),ROUND(Inputs!C60,6),"")</f>
        <v>0.9</v>
      </c>
      <c r="D46" s="51">
        <f>IF(ISNUMBER(Inputs!D60),ROUND(Inputs!D60,6),"")</f>
        <v>1.25</v>
      </c>
      <c r="E46" s="51" t="str">
        <f>IF(Inputs!F60="","",Inputs!F60)</f>
        <v>x</v>
      </c>
      <c r="F46" s="51" t="str">
        <f>IF(Inputs!G60="","",Inputs!G60)</f>
        <v>Assumed range for savings or overruns on the whole conversion cost (equipment and construction).</v>
      </c>
    </row>
    <row r="47" spans="1:6" x14ac:dyDescent="0.2">
      <c r="A47" s="51" t="str">
        <f>Inputs!A61</f>
        <v>Conversion cost per screen used</v>
      </c>
      <c r="B47" s="55">
        <f>ROUND(Inputs!B61,6)</f>
        <v>1391257.142857</v>
      </c>
      <c r="C47" s="55">
        <f>IF(ISNUMBER(Inputs!C61),ROUND(Inputs!C61,6),"")</f>
        <v>1252131.428571</v>
      </c>
      <c r="D47" s="55">
        <f>IF(ISNUMBER(Inputs!D61),ROUND(Inputs!D61,6),"")</f>
        <v>1739071.428571</v>
      </c>
      <c r="E47" s="51" t="str">
        <f>IF(Inputs!F61="","",Inputs!F61)</f>
        <v>$</v>
      </c>
      <c r="F47" s="51" t="str">
        <f>IF(Inputs!G61="","",Inputs!G61)</f>
        <v>Conversion cost estimate (section C) times the scenario multiplier above.</v>
      </c>
    </row>
    <row r="48" spans="1:6" x14ac:dyDescent="0.2">
      <c r="A48" s="51" t="str">
        <f>Inputs!A65</f>
        <v>Attendance uplift step between rows</v>
      </c>
      <c r="B48" s="51">
        <f>ROUND(Inputs!B65,6)</f>
        <v>0.25</v>
      </c>
      <c r="C48" s="51" t="str">
        <f>IF(ISNUMBER(Inputs!C65),ROUND(Inputs!C65,6),"")</f>
        <v/>
      </c>
      <c r="D48" s="51" t="str">
        <f>IF(ISNUMBER(Inputs!D65),ROUND(Inputs!D65,6),"")</f>
        <v/>
      </c>
      <c r="E48" s="51" t="str">
        <f>IF(Inputs!F65="","",Inputs!F65)</f>
        <v>%</v>
      </c>
      <c r="F48" s="51" t="str">
        <f>IF(Inputs!G65="","",Inputs!G65)</f>
        <v>Grid is centred on the base case.</v>
      </c>
    </row>
    <row r="49" spans="1:6" x14ac:dyDescent="0.2">
      <c r="A49" s="51" t="str">
        <f>Inputs!A66</f>
        <v>Premium surcharge step between columns</v>
      </c>
      <c r="B49" s="51">
        <f>ROUND(Inputs!B66,6)</f>
        <v>0.75</v>
      </c>
      <c r="C49" s="51" t="str">
        <f>IF(ISNUMBER(Inputs!C66),ROUND(Inputs!C66,6),"")</f>
        <v/>
      </c>
      <c r="D49" s="51" t="str">
        <f>IF(ISNUMBER(Inputs!D66),ROUND(Inputs!D66,6),"")</f>
        <v/>
      </c>
      <c r="E49" s="51" t="str">
        <f>IF(Inputs!F66="","",Inputs!F66)</f>
        <v>$</v>
      </c>
      <c r="F49" s="51" t="str">
        <f>IF(Inputs!G66="","",Inputs!G66)</f>
        <v>Grid is centred on the base case.</v>
      </c>
    </row>
  </sheetData>
  <pageMargins left="0.75" right="0.75" top="1" bottom="1" header="0.5" footer="0.5"/>
  <pageSetup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D20"/>
  <sheetViews>
    <sheetView workbookViewId="0"/>
  </sheetViews>
  <sheetFormatPr baseColWidth="10" defaultColWidth="8.83203125" defaultRowHeight="15" x14ac:dyDescent="0.2"/>
  <cols>
    <col min="1" max="4" width="14" customWidth="1"/>
  </cols>
  <sheetData>
    <row r="1" spans="1:4" x14ac:dyDescent="0.2">
      <c r="A1" s="23" t="s">
        <v>228</v>
      </c>
      <c r="B1" s="23" t="s">
        <v>226</v>
      </c>
      <c r="C1" s="23" t="s">
        <v>232</v>
      </c>
      <c r="D1" s="23" t="s">
        <v>234</v>
      </c>
    </row>
    <row r="2" spans="1:4" x14ac:dyDescent="0.2">
      <c r="A2" s="51" t="str">
        <f>Inputs!A7</f>
        <v>U.S. markets admissions revenue, 2025</v>
      </c>
      <c r="B2" s="51">
        <f>Inputs!B7</f>
        <v>1992</v>
      </c>
      <c r="C2" s="51" t="str">
        <f>Inputs!F7</f>
        <v>$ millions</v>
      </c>
      <c r="D2" s="51" t="str">
        <f>Inputs!G7</f>
        <v>AMC Entertainment Holdings, Form 10-K for fiscal 2025 (filed 2026-02-23), p. 49, Operating Results table (U.S. Markets).</v>
      </c>
    </row>
    <row r="3" spans="1:4" x14ac:dyDescent="0.2">
      <c r="A3" s="51" t="str">
        <f>Inputs!A8</f>
        <v>U.S. markets attendance, 2025</v>
      </c>
      <c r="B3" s="51">
        <f>Inputs!B8</f>
        <v>155810</v>
      </c>
      <c r="C3" s="51" t="str">
        <f>Inputs!F8</f>
        <v>thousands</v>
      </c>
      <c r="D3" s="51" t="str">
        <f>Inputs!G8</f>
        <v>AMC Entertainment Holdings, Form 10-K for fiscal 2025 (filed 2026-02-23), p. 49, Operating Data.</v>
      </c>
    </row>
    <row r="4" spans="1:4" x14ac:dyDescent="0.2">
      <c r="A4" s="51" t="str">
        <f>Inputs!A9</f>
        <v>U.S. markets average screens, 2025</v>
      </c>
      <c r="B4" s="51">
        <f>Inputs!B9</f>
        <v>7057</v>
      </c>
      <c r="C4" s="51" t="str">
        <f>Inputs!F9</f>
        <v>screens</v>
      </c>
      <c r="D4" s="51" t="str">
        <f>Inputs!G9</f>
        <v>AMC Entertainment Holdings, Form 10-K for fiscal 2025 (filed 2026-02-23), p. 49, Operating Data.</v>
      </c>
    </row>
    <row r="5" spans="1:4" x14ac:dyDescent="0.2">
      <c r="A5" s="51" t="str">
        <f>Inputs!A10</f>
        <v>U.S. markets operating expense, excluding depreciation and amortization, 2025</v>
      </c>
      <c r="B5" s="51">
        <f>Inputs!B10</f>
        <v>1327.1</v>
      </c>
      <c r="C5" s="51" t="str">
        <f>Inputs!F10</f>
        <v>$ millions</v>
      </c>
      <c r="D5" s="51" t="str">
        <f>Inputs!G10</f>
        <v>AMC Entertainment Holdings, Form 10-K for fiscal 2025 (filed 2026-02-23), p. 49, Operating Results table.</v>
      </c>
    </row>
    <row r="6" spans="1:4" x14ac:dyDescent="0.2">
      <c r="A6" s="51" t="str">
        <f>Inputs!A11</f>
        <v>U.S. film exhibition costs as % of admissions revenue, 2025</v>
      </c>
      <c r="B6" s="51">
        <f>Inputs!B11</f>
        <v>0.51200000000000001</v>
      </c>
      <c r="C6" s="51" t="str">
        <f>Inputs!F11</f>
        <v>%</v>
      </c>
      <c r="D6" s="51" t="str">
        <f>Inputs!G11</f>
        <v>AMC Entertainment Holdings, Form 10-K for fiscal 2025 (filed 2026-02-23), p. 55, Theatrical Exhibition - U.S. Markets.</v>
      </c>
    </row>
    <row r="7" spans="1:4" x14ac:dyDescent="0.2">
      <c r="A7" s="51" t="str">
        <f>Inputs!A12</f>
        <v>U.S. food and beverage costs as % of food and beverage revenue, 2025</v>
      </c>
      <c r="B7" s="51">
        <f>Inputs!B12</f>
        <v>0.18099999999999999</v>
      </c>
      <c r="C7" s="51" t="str">
        <f>Inputs!F12</f>
        <v>%</v>
      </c>
      <c r="D7" s="51" t="str">
        <f>Inputs!G12</f>
        <v>AMC Entertainment Holdings, Form 10-K for fiscal 2025 (filed 2026-02-23), p. 55.</v>
      </c>
    </row>
    <row r="8" spans="1:4" x14ac:dyDescent="0.2">
      <c r="A8" s="51" t="str">
        <f>Inputs!A13</f>
        <v>U.S. food and beverage revenue per patron, 2025</v>
      </c>
      <c r="B8" s="51">
        <f>Inputs!B13</f>
        <v>8.57</v>
      </c>
      <c r="C8" s="51" t="str">
        <f>Inputs!F13</f>
        <v>$</v>
      </c>
      <c r="D8" s="51" t="str">
        <f>Inputs!G13</f>
        <v>AMC Entertainment Holdings, Form 10-K for fiscal 2025 (filed 2026-02-23), p. 55.</v>
      </c>
    </row>
    <row r="9" spans="1:4" x14ac:dyDescent="0.2">
      <c r="A9" s="51" t="str">
        <f>Inputs!A14</f>
        <v>U.S. average ticket price change, 2025</v>
      </c>
      <c r="B9" s="51">
        <f>Inputs!B14</f>
        <v>4.5999999999999999E-2</v>
      </c>
      <c r="C9" s="51" t="str">
        <f>Inputs!F14</f>
        <v>%</v>
      </c>
      <c r="D9" s="51" t="str">
        <f>Inputs!G14</f>
        <v>AMC Entertainment Holdings, Form 10-K for fiscal 2025 (filed 2026-02-23), p. 55. Reference for the price growth assumption.</v>
      </c>
    </row>
    <row r="10" spans="1:4" x14ac:dyDescent="0.2">
      <c r="A10" s="51" t="str">
        <f>Inputs!A15</f>
        <v>U.S. food and beverage per patron change, 2025</v>
      </c>
      <c r="B10" s="51">
        <f>Inputs!B15</f>
        <v>3.3000000000000002E-2</v>
      </c>
      <c r="C10" s="51" t="str">
        <f>Inputs!F15</f>
        <v>%</v>
      </c>
      <c r="D10" s="51" t="str">
        <f>Inputs!G15</f>
        <v>AMC Entertainment Holdings, Form 10-K for fiscal 2025 (filed 2026-02-23), p. 55. Reference for the F&amp;B growth assumption.</v>
      </c>
    </row>
    <row r="11" spans="1:4" x14ac:dyDescent="0.2">
      <c r="A11" s="51" t="str">
        <f>Inputs!A16</f>
        <v>U.S. attendance change, 2025</v>
      </c>
      <c r="B11" s="51">
        <f>Inputs!B16</f>
        <v>-7.0000000000000001E-3</v>
      </c>
      <c r="C11" s="51" t="str">
        <f>Inputs!F16</f>
        <v>%</v>
      </c>
      <c r="D11" s="51" t="str">
        <f>Inputs!G16</f>
        <v>AMC Entertainment Holdings, Form 10-K for fiscal 2025 (filed 2026-02-23), p. 55 (156.9 million to 155.8 million patrons). Reference for the attendance trend.</v>
      </c>
    </row>
    <row r="12" spans="1:4" x14ac:dyDescent="0.2">
      <c r="A12" s="51" t="str">
        <f>Inputs!A17</f>
        <v>Discount rate AMC applied to U.S. theatre cash flows in impairment testing, Dec 31, 2025</v>
      </c>
      <c r="B12" s="51">
        <f>Inputs!B17</f>
        <v>9.5000000000000001E-2</v>
      </c>
      <c r="C12" s="51" t="str">
        <f>Inputs!F17</f>
        <v>%</v>
      </c>
      <c r="D12" s="51" t="str">
        <f>Inputs!G17</f>
        <v>AMC Entertainment Holdings, Form 10-K for fiscal 2025 (filed 2026-02-23), p. 46, Critical Accounting Estimates.</v>
      </c>
    </row>
    <row r="13" spans="1:4" x14ac:dyDescent="0.2">
      <c r="A13" s="51" t="str">
        <f>Inputs!A18</f>
        <v>Federal net operating loss carryforwards</v>
      </c>
      <c r="B13" s="51">
        <f>Inputs!B18</f>
        <v>1780.1</v>
      </c>
      <c r="C13" s="51" t="str">
        <f>Inputs!F18</f>
        <v>$ millions</v>
      </c>
      <c r="D13" s="51" t="str">
        <f>Inputs!G18</f>
        <v>AMC Entertainment Holdings, Form 10-K for fiscal 2025 (filed 2026-02-23), p. 121, Note 9 Income Taxes. A valuation allowance is held against U.S. deferred tax assets (p. 119).</v>
      </c>
    </row>
    <row r="14" spans="1:4" x14ac:dyDescent="0.2">
      <c r="A14" s="51" t="str">
        <f>Inputs!A19</f>
        <v>IMAX technology rentals revenue, 2025</v>
      </c>
      <c r="B14" s="51">
        <f>Inputs!B19</f>
        <v>82218</v>
      </c>
      <c r="C14" s="51" t="str">
        <f>Inputs!F19</f>
        <v>$ thousands</v>
      </c>
      <c r="D14" s="51" t="str">
        <f>Inputs!G19</f>
        <v>IMAX Corporation, Form 10-K for fiscal 2025 (filed 2026-02-25), p. 66, Consolidated Statements of Operations. Rentals come mainly from box-office shares under joint revenue sharing arrangements (JRSAs), p. 52.</v>
      </c>
    </row>
    <row r="15" spans="1:4" x14ac:dyDescent="0.2">
      <c r="A15" s="51" t="str">
        <f>Inputs!A20</f>
        <v>Box office generated by IMAX JRSA locations, 2025</v>
      </c>
      <c r="B15" s="51">
        <f>Inputs!B20</f>
        <v>560.20000000000005</v>
      </c>
      <c r="C15" s="51" t="str">
        <f>Inputs!F20</f>
        <v>$ millions</v>
      </c>
      <c r="D15" s="51" t="str">
        <f>Inputs!G20</f>
        <v>IMAX Corporation, Form 10-K for fiscal 2025 (filed 2026-02-25), p. 52, Technology Products and Services.</v>
      </c>
    </row>
    <row r="16" spans="1:4" x14ac:dyDescent="0.2">
      <c r="A16" s="51" t="str">
        <f>Inputs!A21</f>
        <v>IMAX revenue recognized on new systems installed, 2025</v>
      </c>
      <c r="B16" s="51">
        <f>Inputs!B21</f>
        <v>62388</v>
      </c>
      <c r="C16" s="51" t="str">
        <f>Inputs!F21</f>
        <v>$ thousands</v>
      </c>
      <c r="D16" s="51" t="str">
        <f>Inputs!G21</f>
        <v>IMAX Corporation, Form 10-K for fiscal 2025 (filed 2026-02-25), p. 52 (excludes traditional JRSAs, which are recognized over the lease term).</v>
      </c>
    </row>
    <row r="17" spans="1:4" x14ac:dyDescent="0.2">
      <c r="A17" s="51" t="str">
        <f>Inputs!A22</f>
        <v>New IMAX systems installed, 2025</v>
      </c>
      <c r="B17" s="51">
        <f>Inputs!B22</f>
        <v>70</v>
      </c>
      <c r="C17" s="51" t="str">
        <f>Inputs!F22</f>
        <v>systems</v>
      </c>
      <c r="D17" s="51" t="str">
        <f>Inputs!G22</f>
        <v>IMAX Corporation, Form 10-K for fiscal 2025 (filed 2026-02-25), p. 52.</v>
      </c>
    </row>
    <row r="18" spans="1:4" x14ac:dyDescent="0.2">
      <c r="A18" s="51" t="str">
        <f>Inputs!A23</f>
        <v>IMAX share of domestic (U.S. and Canada) box office, 2025</v>
      </c>
      <c r="B18" s="51">
        <f>Inputs!B23</f>
        <v>5.1999999999999998E-2</v>
      </c>
      <c r="C18" s="51" t="str">
        <f>Inputs!F23</f>
        <v>%</v>
      </c>
      <c r="D18" s="51" t="str">
        <f>Inputs!G23</f>
        <v>IMAX Corporation, Form 10-K for fiscal 2025 (filed 2026-02-25), p. 6.</v>
      </c>
    </row>
    <row r="19" spans="1:4" x14ac:dyDescent="0.2">
      <c r="A19" s="51" t="str">
        <f>Inputs!A24</f>
        <v>IMAX share of domestic screens</v>
      </c>
      <c r="B19" s="51">
        <f>Inputs!B24</f>
        <v>0.01</v>
      </c>
      <c r="C19" s="51" t="str">
        <f>Inputs!F24</f>
        <v>%</v>
      </c>
      <c r="D19" s="51" t="str">
        <f>Inputs!G24</f>
        <v>IMAX Corporation, Form 10-K for fiscal 2025 (filed 2026-02-25), p. 6 ("approximately 1% of domestic screens").</v>
      </c>
    </row>
    <row r="20" spans="1:4" x14ac:dyDescent="0.2">
      <c r="A20" s="51" t="str">
        <f>Inputs!A25</f>
        <v>Typical initial non-cancellable JRSA term</v>
      </c>
      <c r="B20" s="51">
        <f>Inputs!B25</f>
        <v>10</v>
      </c>
      <c r="C20" s="51" t="str">
        <f>Inputs!F25</f>
        <v>years</v>
      </c>
      <c r="D20" s="51" t="str">
        <f>Inputs!G25</f>
        <v>IMAX Corporation, Form 10-K for fiscal 2025 (filed 2026-02-25), p. 42. Sets the 10-year model horizon.</v>
      </c>
    </row>
  </sheetData>
  <pageMargins left="0.75" right="0.75" top="1" bottom="1" header="0.5" footer="0.5"/>
  <pageSetup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K62"/>
  <sheetViews>
    <sheetView workbookViewId="0"/>
  </sheetViews>
  <sheetFormatPr baseColWidth="10" defaultColWidth="8.83203125" defaultRowHeight="15" x14ac:dyDescent="0.2"/>
  <cols>
    <col min="1" max="3" width="14" customWidth="1"/>
    <col min="4" max="5" width="21" customWidth="1"/>
    <col min="6" max="6" width="22" customWidth="1"/>
    <col min="7" max="8" width="14" customWidth="1"/>
    <col min="9" max="10" width="17" customWidth="1"/>
    <col min="11" max="11" width="24" customWidth="1"/>
  </cols>
  <sheetData>
    <row r="1" spans="1:11" x14ac:dyDescent="0.2">
      <c r="A1" s="23" t="s">
        <v>235</v>
      </c>
      <c r="B1" s="23" t="s">
        <v>210</v>
      </c>
      <c r="C1" s="23" t="s">
        <v>221</v>
      </c>
      <c r="D1" s="23" t="s">
        <v>211</v>
      </c>
      <c r="E1" s="23" t="s">
        <v>212</v>
      </c>
      <c r="F1" s="23" t="s">
        <v>224</v>
      </c>
      <c r="G1" s="23" t="s">
        <v>216</v>
      </c>
      <c r="H1" s="23" t="s">
        <v>217</v>
      </c>
      <c r="I1" s="23" t="s">
        <v>218</v>
      </c>
      <c r="J1" s="23" t="s">
        <v>222</v>
      </c>
      <c r="K1" s="23" t="s">
        <v>223</v>
      </c>
    </row>
    <row r="2" spans="1:11" x14ac:dyDescent="0.2">
      <c r="A2" s="51" t="s">
        <v>236</v>
      </c>
      <c r="B2" s="51" t="str">
        <f>scenario_results!A2</f>
        <v>Base</v>
      </c>
      <c r="G2" s="53">
        <f>scenario_results!G2</f>
        <v>-213905</v>
      </c>
      <c r="H2" s="51">
        <f>scenario_results!H2</f>
        <v>6.1400000000000003E-2</v>
      </c>
      <c r="I2" s="54">
        <f>scenario_results!I2</f>
        <v>7.5</v>
      </c>
    </row>
    <row r="3" spans="1:11" x14ac:dyDescent="0.2">
      <c r="A3" s="51" t="s">
        <v>236</v>
      </c>
      <c r="B3" s="51" t="str">
        <f>scenario_results!A3</f>
        <v>Upside</v>
      </c>
      <c r="G3" s="53">
        <f>scenario_results!G3</f>
        <v>1647821</v>
      </c>
      <c r="H3" s="51">
        <f>scenario_results!H3</f>
        <v>0.32500000000000001</v>
      </c>
      <c r="I3" s="54">
        <f>scenario_results!I3</f>
        <v>3</v>
      </c>
    </row>
    <row r="4" spans="1:11" x14ac:dyDescent="0.2">
      <c r="A4" s="51" t="s">
        <v>236</v>
      </c>
      <c r="B4" s="51" t="str">
        <f>scenario_results!A4</f>
        <v>Downside</v>
      </c>
      <c r="G4" s="53">
        <f>scenario_results!G4</f>
        <v>-1794151</v>
      </c>
      <c r="H4" s="51" t="str">
        <f>scenario_results!H4</f>
        <v/>
      </c>
      <c r="I4" s="54" t="str">
        <f>scenario_results!I4</f>
        <v/>
      </c>
    </row>
    <row r="5" spans="1:11" x14ac:dyDescent="0.2">
      <c r="A5" s="51" t="s">
        <v>237</v>
      </c>
      <c r="B5" s="51" t="str">
        <f>scenario_cash_flows!A2</f>
        <v>Base</v>
      </c>
      <c r="C5" s="53">
        <f>scenario_cash_flows!B2</f>
        <v>0</v>
      </c>
      <c r="J5" s="53">
        <f>scenario_cash_flows!C2</f>
        <v>-1447549</v>
      </c>
      <c r="K5" s="53">
        <f>scenario_cash_flows!D2</f>
        <v>-1447549</v>
      </c>
    </row>
    <row r="6" spans="1:11" x14ac:dyDescent="0.2">
      <c r="A6" s="51" t="s">
        <v>237</v>
      </c>
      <c r="B6" s="51" t="str">
        <f>scenario_cash_flows!A3</f>
        <v>Base</v>
      </c>
      <c r="C6" s="53">
        <f>scenario_cash_flows!B3</f>
        <v>1</v>
      </c>
      <c r="J6" s="53">
        <f>scenario_cash_flows!C3</f>
        <v>175191</v>
      </c>
      <c r="K6" s="53">
        <f>scenario_cash_flows!D3</f>
        <v>-1272358</v>
      </c>
    </row>
    <row r="7" spans="1:11" x14ac:dyDescent="0.2">
      <c r="A7" s="51" t="s">
        <v>237</v>
      </c>
      <c r="B7" s="51" t="str">
        <f>scenario_cash_flows!A4</f>
        <v>Base</v>
      </c>
      <c r="C7" s="53">
        <f>scenario_cash_flows!B4</f>
        <v>2</v>
      </c>
      <c r="J7" s="53">
        <f>scenario_cash_flows!C4</f>
        <v>180447</v>
      </c>
      <c r="K7" s="53">
        <f>scenario_cash_flows!D4</f>
        <v>-1091911</v>
      </c>
    </row>
    <row r="8" spans="1:11" x14ac:dyDescent="0.2">
      <c r="A8" s="51" t="s">
        <v>237</v>
      </c>
      <c r="B8" s="51" t="str">
        <f>scenario_cash_flows!A5</f>
        <v>Base</v>
      </c>
      <c r="C8" s="53">
        <f>scenario_cash_flows!B5</f>
        <v>3</v>
      </c>
      <c r="J8" s="53">
        <f>scenario_cash_flows!C5</f>
        <v>185860</v>
      </c>
      <c r="K8" s="53">
        <f>scenario_cash_flows!D5</f>
        <v>-906050</v>
      </c>
    </row>
    <row r="9" spans="1:11" x14ac:dyDescent="0.2">
      <c r="A9" s="51" t="s">
        <v>237</v>
      </c>
      <c r="B9" s="51" t="str">
        <f>scenario_cash_flows!A6</f>
        <v>Base</v>
      </c>
      <c r="C9" s="53">
        <f>scenario_cash_flows!B6</f>
        <v>4</v>
      </c>
      <c r="J9" s="53">
        <f>scenario_cash_flows!C6</f>
        <v>191436</v>
      </c>
      <c r="K9" s="53">
        <f>scenario_cash_flows!D6</f>
        <v>-714614</v>
      </c>
    </row>
    <row r="10" spans="1:11" x14ac:dyDescent="0.2">
      <c r="A10" s="51" t="s">
        <v>237</v>
      </c>
      <c r="B10" s="51" t="str">
        <f>scenario_cash_flows!A7</f>
        <v>Base</v>
      </c>
      <c r="C10" s="53">
        <f>scenario_cash_flows!B7</f>
        <v>5</v>
      </c>
      <c r="J10" s="53">
        <f>scenario_cash_flows!C7</f>
        <v>197179</v>
      </c>
      <c r="K10" s="53">
        <f>scenario_cash_flows!D7</f>
        <v>-517435</v>
      </c>
    </row>
    <row r="11" spans="1:11" x14ac:dyDescent="0.2">
      <c r="A11" s="51" t="s">
        <v>237</v>
      </c>
      <c r="B11" s="51" t="str">
        <f>scenario_cash_flows!A8</f>
        <v>Base</v>
      </c>
      <c r="C11" s="53">
        <f>scenario_cash_flows!B8</f>
        <v>6</v>
      </c>
      <c r="J11" s="53">
        <f>scenario_cash_flows!C8</f>
        <v>203095</v>
      </c>
      <c r="K11" s="53">
        <f>scenario_cash_flows!D8</f>
        <v>-314340</v>
      </c>
    </row>
    <row r="12" spans="1:11" x14ac:dyDescent="0.2">
      <c r="A12" s="51" t="s">
        <v>237</v>
      </c>
      <c r="B12" s="51" t="str">
        <f>scenario_cash_flows!A9</f>
        <v>Base</v>
      </c>
      <c r="C12" s="53">
        <f>scenario_cash_flows!B9</f>
        <v>7</v>
      </c>
      <c r="J12" s="53">
        <f>scenario_cash_flows!C9</f>
        <v>209187</v>
      </c>
      <c r="K12" s="53">
        <f>scenario_cash_flows!D9</f>
        <v>-105153</v>
      </c>
    </row>
    <row r="13" spans="1:11" x14ac:dyDescent="0.2">
      <c r="A13" s="51" t="s">
        <v>237</v>
      </c>
      <c r="B13" s="51" t="str">
        <f>scenario_cash_flows!A10</f>
        <v>Base</v>
      </c>
      <c r="C13" s="53">
        <f>scenario_cash_flows!B10</f>
        <v>8</v>
      </c>
      <c r="J13" s="53">
        <f>scenario_cash_flows!C10</f>
        <v>215463</v>
      </c>
      <c r="K13" s="53">
        <f>scenario_cash_flows!D10</f>
        <v>110310</v>
      </c>
    </row>
    <row r="14" spans="1:11" x14ac:dyDescent="0.2">
      <c r="A14" s="51" t="s">
        <v>237</v>
      </c>
      <c r="B14" s="51" t="str">
        <f>scenario_cash_flows!A11</f>
        <v>Base</v>
      </c>
      <c r="C14" s="53">
        <f>scenario_cash_flows!B11</f>
        <v>9</v>
      </c>
      <c r="J14" s="53">
        <f>scenario_cash_flows!C11</f>
        <v>221927</v>
      </c>
      <c r="K14" s="53">
        <f>scenario_cash_flows!D11</f>
        <v>332237</v>
      </c>
    </row>
    <row r="15" spans="1:11" x14ac:dyDescent="0.2">
      <c r="A15" s="51" t="s">
        <v>237</v>
      </c>
      <c r="B15" s="51" t="str">
        <f>scenario_cash_flows!A12</f>
        <v>Base</v>
      </c>
      <c r="C15" s="53">
        <f>scenario_cash_flows!B12</f>
        <v>10</v>
      </c>
      <c r="J15" s="53">
        <f>scenario_cash_flows!C12</f>
        <v>228585</v>
      </c>
      <c r="K15" s="53">
        <f>scenario_cash_flows!D12</f>
        <v>560822</v>
      </c>
    </row>
    <row r="16" spans="1:11" x14ac:dyDescent="0.2">
      <c r="A16" s="51" t="s">
        <v>237</v>
      </c>
      <c r="B16" s="51" t="str">
        <f>scenario_cash_flows!A13</f>
        <v>Upside</v>
      </c>
      <c r="C16" s="53">
        <f>scenario_cash_flows!B13</f>
        <v>0</v>
      </c>
      <c r="J16" s="53">
        <f>scenario_cash_flows!C13</f>
        <v>-1308423</v>
      </c>
      <c r="K16" s="53">
        <f>scenario_cash_flows!D13</f>
        <v>-1308423</v>
      </c>
    </row>
    <row r="17" spans="1:11" x14ac:dyDescent="0.2">
      <c r="A17" s="51" t="s">
        <v>237</v>
      </c>
      <c r="B17" s="51" t="str">
        <f>scenario_cash_flows!A14</f>
        <v>Upside</v>
      </c>
      <c r="C17" s="53">
        <f>scenario_cash_flows!B14</f>
        <v>1</v>
      </c>
      <c r="J17" s="53">
        <f>scenario_cash_flows!C14</f>
        <v>419820</v>
      </c>
      <c r="K17" s="53">
        <f>scenario_cash_flows!D14</f>
        <v>-888603</v>
      </c>
    </row>
    <row r="18" spans="1:11" x14ac:dyDescent="0.2">
      <c r="A18" s="51" t="s">
        <v>237</v>
      </c>
      <c r="B18" s="51" t="str">
        <f>scenario_cash_flows!A15</f>
        <v>Upside</v>
      </c>
      <c r="C18" s="53">
        <f>scenario_cash_flows!B15</f>
        <v>2</v>
      </c>
      <c r="J18" s="53">
        <f>scenario_cash_flows!C15</f>
        <v>432414</v>
      </c>
      <c r="K18" s="53">
        <f>scenario_cash_flows!D15</f>
        <v>-456189</v>
      </c>
    </row>
    <row r="19" spans="1:11" x14ac:dyDescent="0.2">
      <c r="A19" s="51" t="s">
        <v>237</v>
      </c>
      <c r="B19" s="51" t="str">
        <f>scenario_cash_flows!A16</f>
        <v>Upside</v>
      </c>
      <c r="C19" s="53">
        <f>scenario_cash_flows!B16</f>
        <v>3</v>
      </c>
      <c r="J19" s="53">
        <f>scenario_cash_flows!C16</f>
        <v>445387</v>
      </c>
      <c r="K19" s="53">
        <f>scenario_cash_flows!D16</f>
        <v>-10803</v>
      </c>
    </row>
    <row r="20" spans="1:11" x14ac:dyDescent="0.2">
      <c r="A20" s="51" t="s">
        <v>237</v>
      </c>
      <c r="B20" s="51" t="str">
        <f>scenario_cash_flows!A17</f>
        <v>Upside</v>
      </c>
      <c r="C20" s="53">
        <f>scenario_cash_flows!B17</f>
        <v>4</v>
      </c>
      <c r="J20" s="53">
        <f>scenario_cash_flows!C17</f>
        <v>458748</v>
      </c>
      <c r="K20" s="53">
        <f>scenario_cash_flows!D17</f>
        <v>447945</v>
      </c>
    </row>
    <row r="21" spans="1:11" x14ac:dyDescent="0.2">
      <c r="A21" s="51" t="s">
        <v>237</v>
      </c>
      <c r="B21" s="51" t="str">
        <f>scenario_cash_flows!A18</f>
        <v>Upside</v>
      </c>
      <c r="C21" s="53">
        <f>scenario_cash_flows!B18</f>
        <v>5</v>
      </c>
      <c r="J21" s="53">
        <f>scenario_cash_flows!C18</f>
        <v>472511</v>
      </c>
      <c r="K21" s="53">
        <f>scenario_cash_flows!D18</f>
        <v>920456</v>
      </c>
    </row>
    <row r="22" spans="1:11" x14ac:dyDescent="0.2">
      <c r="A22" s="51" t="s">
        <v>237</v>
      </c>
      <c r="B22" s="51" t="str">
        <f>scenario_cash_flows!A19</f>
        <v>Upside</v>
      </c>
      <c r="C22" s="53">
        <f>scenario_cash_flows!B19</f>
        <v>6</v>
      </c>
      <c r="J22" s="53">
        <f>scenario_cash_flows!C19</f>
        <v>486686</v>
      </c>
      <c r="K22" s="53">
        <f>scenario_cash_flows!D19</f>
        <v>1407142</v>
      </c>
    </row>
    <row r="23" spans="1:11" x14ac:dyDescent="0.2">
      <c r="A23" s="51" t="s">
        <v>237</v>
      </c>
      <c r="B23" s="51" t="str">
        <f>scenario_cash_flows!A20</f>
        <v>Upside</v>
      </c>
      <c r="C23" s="53">
        <f>scenario_cash_flows!B20</f>
        <v>7</v>
      </c>
      <c r="J23" s="53">
        <f>scenario_cash_flows!C20</f>
        <v>501287</v>
      </c>
      <c r="K23" s="53">
        <f>scenario_cash_flows!D20</f>
        <v>1908428</v>
      </c>
    </row>
    <row r="24" spans="1:11" x14ac:dyDescent="0.2">
      <c r="A24" s="51" t="s">
        <v>237</v>
      </c>
      <c r="B24" s="51" t="str">
        <f>scenario_cash_flows!A21</f>
        <v>Upside</v>
      </c>
      <c r="C24" s="53">
        <f>scenario_cash_flows!B21</f>
        <v>8</v>
      </c>
      <c r="J24" s="53">
        <f>scenario_cash_flows!C21</f>
        <v>516325</v>
      </c>
      <c r="K24" s="53">
        <f>scenario_cash_flows!D21</f>
        <v>2424754</v>
      </c>
    </row>
    <row r="25" spans="1:11" x14ac:dyDescent="0.2">
      <c r="A25" s="51" t="s">
        <v>237</v>
      </c>
      <c r="B25" s="51" t="str">
        <f>scenario_cash_flows!A22</f>
        <v>Upside</v>
      </c>
      <c r="C25" s="53">
        <f>scenario_cash_flows!B22</f>
        <v>9</v>
      </c>
      <c r="J25" s="53">
        <f>scenario_cash_flows!C22</f>
        <v>531815</v>
      </c>
      <c r="K25" s="53">
        <f>scenario_cash_flows!D22</f>
        <v>2956568</v>
      </c>
    </row>
    <row r="26" spans="1:11" x14ac:dyDescent="0.2">
      <c r="A26" s="51" t="s">
        <v>237</v>
      </c>
      <c r="B26" s="51" t="str">
        <f>scenario_cash_flows!A23</f>
        <v>Upside</v>
      </c>
      <c r="C26" s="53">
        <f>scenario_cash_flows!B23</f>
        <v>10</v>
      </c>
      <c r="J26" s="53">
        <f>scenario_cash_flows!C23</f>
        <v>547769</v>
      </c>
      <c r="K26" s="53">
        <f>scenario_cash_flows!D23</f>
        <v>3504338</v>
      </c>
    </row>
    <row r="27" spans="1:11" x14ac:dyDescent="0.2">
      <c r="A27" s="51" t="s">
        <v>237</v>
      </c>
      <c r="B27" s="51" t="str">
        <f>scenario_cash_flows!A24</f>
        <v>Downside</v>
      </c>
      <c r="C27" s="53">
        <f>scenario_cash_flows!B24</f>
        <v>0</v>
      </c>
      <c r="J27" s="53">
        <f>scenario_cash_flows!C24</f>
        <v>-1795363</v>
      </c>
      <c r="K27" s="53">
        <f>scenario_cash_flows!D24</f>
        <v>-1795363</v>
      </c>
    </row>
    <row r="28" spans="1:11" x14ac:dyDescent="0.2">
      <c r="A28" s="51" t="s">
        <v>237</v>
      </c>
      <c r="B28" s="51" t="str">
        <f>scenario_cash_flows!A25</f>
        <v>Downside</v>
      </c>
      <c r="C28" s="53">
        <f>scenario_cash_flows!B25</f>
        <v>1</v>
      </c>
      <c r="J28" s="53">
        <f>scenario_cash_flows!C25</f>
        <v>172</v>
      </c>
      <c r="K28" s="53">
        <f>scenario_cash_flows!D25</f>
        <v>-1795191</v>
      </c>
    </row>
    <row r="29" spans="1:11" x14ac:dyDescent="0.2">
      <c r="A29" s="51" t="s">
        <v>237</v>
      </c>
      <c r="B29" s="51" t="str">
        <f>scenario_cash_flows!A26</f>
        <v>Downside</v>
      </c>
      <c r="C29" s="53">
        <f>scenario_cash_flows!B26</f>
        <v>2</v>
      </c>
      <c r="J29" s="53">
        <f>scenario_cash_flows!C26</f>
        <v>177</v>
      </c>
      <c r="K29" s="53">
        <f>scenario_cash_flows!D26</f>
        <v>-1795014</v>
      </c>
    </row>
    <row r="30" spans="1:11" x14ac:dyDescent="0.2">
      <c r="A30" s="51" t="s">
        <v>237</v>
      </c>
      <c r="B30" s="51" t="str">
        <f>scenario_cash_flows!A27</f>
        <v>Downside</v>
      </c>
      <c r="C30" s="53">
        <f>scenario_cash_flows!B27</f>
        <v>3</v>
      </c>
      <c r="J30" s="53">
        <f>scenario_cash_flows!C27</f>
        <v>183</v>
      </c>
      <c r="K30" s="53">
        <f>scenario_cash_flows!D27</f>
        <v>-1794831</v>
      </c>
    </row>
    <row r="31" spans="1:11" x14ac:dyDescent="0.2">
      <c r="A31" s="51" t="s">
        <v>237</v>
      </c>
      <c r="B31" s="51" t="str">
        <f>scenario_cash_flows!A28</f>
        <v>Downside</v>
      </c>
      <c r="C31" s="53">
        <f>scenario_cash_flows!B28</f>
        <v>4</v>
      </c>
      <c r="J31" s="53">
        <f>scenario_cash_flows!C28</f>
        <v>188</v>
      </c>
      <c r="K31" s="53">
        <f>scenario_cash_flows!D28</f>
        <v>-1794643</v>
      </c>
    </row>
    <row r="32" spans="1:11" x14ac:dyDescent="0.2">
      <c r="A32" s="51" t="s">
        <v>237</v>
      </c>
      <c r="B32" s="51" t="str">
        <f>scenario_cash_flows!A29</f>
        <v>Downside</v>
      </c>
      <c r="C32" s="53">
        <f>scenario_cash_flows!B29</f>
        <v>5</v>
      </c>
      <c r="J32" s="53">
        <f>scenario_cash_flows!C29</f>
        <v>194</v>
      </c>
      <c r="K32" s="53">
        <f>scenario_cash_flows!D29</f>
        <v>-1794449</v>
      </c>
    </row>
    <row r="33" spans="1:11" x14ac:dyDescent="0.2">
      <c r="A33" s="51" t="s">
        <v>237</v>
      </c>
      <c r="B33" s="51" t="str">
        <f>scenario_cash_flows!A30</f>
        <v>Downside</v>
      </c>
      <c r="C33" s="53">
        <f>scenario_cash_flows!B30</f>
        <v>6</v>
      </c>
      <c r="J33" s="53">
        <f>scenario_cash_flows!C30</f>
        <v>199</v>
      </c>
      <c r="K33" s="53">
        <f>scenario_cash_flows!D30</f>
        <v>-1794250</v>
      </c>
    </row>
    <row r="34" spans="1:11" x14ac:dyDescent="0.2">
      <c r="A34" s="51" t="s">
        <v>237</v>
      </c>
      <c r="B34" s="51" t="str">
        <f>scenario_cash_flows!A31</f>
        <v>Downside</v>
      </c>
      <c r="C34" s="53">
        <f>scenario_cash_flows!B31</f>
        <v>7</v>
      </c>
      <c r="J34" s="53">
        <f>scenario_cash_flows!C31</f>
        <v>205</v>
      </c>
      <c r="K34" s="53">
        <f>scenario_cash_flows!D31</f>
        <v>-1794045</v>
      </c>
    </row>
    <row r="35" spans="1:11" x14ac:dyDescent="0.2">
      <c r="A35" s="51" t="s">
        <v>237</v>
      </c>
      <c r="B35" s="51" t="str">
        <f>scenario_cash_flows!A32</f>
        <v>Downside</v>
      </c>
      <c r="C35" s="53">
        <f>scenario_cash_flows!B32</f>
        <v>8</v>
      </c>
      <c r="J35" s="53">
        <f>scenario_cash_flows!C32</f>
        <v>212</v>
      </c>
      <c r="K35" s="53">
        <f>scenario_cash_flows!D32</f>
        <v>-1793833</v>
      </c>
    </row>
    <row r="36" spans="1:11" x14ac:dyDescent="0.2">
      <c r="A36" s="51" t="s">
        <v>237</v>
      </c>
      <c r="B36" s="51" t="str">
        <f>scenario_cash_flows!A33</f>
        <v>Downside</v>
      </c>
      <c r="C36" s="53">
        <f>scenario_cash_flows!B33</f>
        <v>9</v>
      </c>
      <c r="J36" s="53">
        <f>scenario_cash_flows!C33</f>
        <v>218</v>
      </c>
      <c r="K36" s="53">
        <f>scenario_cash_flows!D33</f>
        <v>-1793615</v>
      </c>
    </row>
    <row r="37" spans="1:11" x14ac:dyDescent="0.2">
      <c r="A37" s="51" t="s">
        <v>237</v>
      </c>
      <c r="B37" s="51" t="str">
        <f>scenario_cash_flows!A34</f>
        <v>Downside</v>
      </c>
      <c r="C37" s="53">
        <f>scenario_cash_flows!B34</f>
        <v>10</v>
      </c>
      <c r="J37" s="53">
        <f>scenario_cash_flows!C34</f>
        <v>225</v>
      </c>
      <c r="K37" s="53">
        <f>scenario_cash_flows!D34</f>
        <v>-1793390</v>
      </c>
    </row>
    <row r="38" spans="1:11" x14ac:dyDescent="0.2">
      <c r="A38" s="51" t="s">
        <v>238</v>
      </c>
      <c r="B38" s="51" t="s">
        <v>101</v>
      </c>
      <c r="D38" s="51">
        <f>sensitivity_grid!A2</f>
        <v>0.5</v>
      </c>
      <c r="E38" s="51">
        <f>sensitivity_grid!B2</f>
        <v>3.5</v>
      </c>
      <c r="F38" s="51">
        <f>sensitivity_grid!C2</f>
        <v>16.28</v>
      </c>
      <c r="G38" s="53">
        <f>sensitivity_grid!D2</f>
        <v>-1038250</v>
      </c>
    </row>
    <row r="39" spans="1:11" x14ac:dyDescent="0.2">
      <c r="A39" s="51" t="s">
        <v>238</v>
      </c>
      <c r="B39" s="51" t="s">
        <v>101</v>
      </c>
      <c r="D39" s="51">
        <f>sensitivity_grid!A3</f>
        <v>0.5</v>
      </c>
      <c r="E39" s="51">
        <f>sensitivity_grid!B3</f>
        <v>4.25</v>
      </c>
      <c r="F39" s="51">
        <f>sensitivity_grid!C3</f>
        <v>17.03</v>
      </c>
      <c r="G39" s="53">
        <f>sensitivity_grid!D3</f>
        <v>-966145</v>
      </c>
    </row>
    <row r="40" spans="1:11" x14ac:dyDescent="0.2">
      <c r="A40" s="51" t="s">
        <v>238</v>
      </c>
      <c r="B40" s="51" t="s">
        <v>101</v>
      </c>
      <c r="D40" s="51">
        <f>sensitivity_grid!A4</f>
        <v>0.5</v>
      </c>
      <c r="E40" s="51">
        <f>sensitivity_grid!B4</f>
        <v>5</v>
      </c>
      <c r="F40" s="51">
        <f>sensitivity_grid!C4</f>
        <v>17.78</v>
      </c>
      <c r="G40" s="53">
        <f>sensitivity_grid!D4</f>
        <v>-894040</v>
      </c>
    </row>
    <row r="41" spans="1:11" x14ac:dyDescent="0.2">
      <c r="A41" s="51" t="s">
        <v>238</v>
      </c>
      <c r="B41" s="51" t="s">
        <v>101</v>
      </c>
      <c r="D41" s="51">
        <f>sensitivity_grid!A5</f>
        <v>0.5</v>
      </c>
      <c r="E41" s="51">
        <f>sensitivity_grid!B5</f>
        <v>5.75</v>
      </c>
      <c r="F41" s="51">
        <f>sensitivity_grid!C5</f>
        <v>18.53</v>
      </c>
      <c r="G41" s="53">
        <f>sensitivity_grid!D5</f>
        <v>-821935</v>
      </c>
    </row>
    <row r="42" spans="1:11" x14ac:dyDescent="0.2">
      <c r="A42" s="51" t="s">
        <v>238</v>
      </c>
      <c r="B42" s="51" t="s">
        <v>101</v>
      </c>
      <c r="D42" s="51">
        <f>sensitivity_grid!A6</f>
        <v>0.5</v>
      </c>
      <c r="E42" s="51">
        <f>sensitivity_grid!B6</f>
        <v>6.5</v>
      </c>
      <c r="F42" s="51">
        <f>sensitivity_grid!C6</f>
        <v>19.28</v>
      </c>
      <c r="G42" s="53">
        <f>sensitivity_grid!D6</f>
        <v>-749830</v>
      </c>
    </row>
    <row r="43" spans="1:11" x14ac:dyDescent="0.2">
      <c r="A43" s="51" t="s">
        <v>238</v>
      </c>
      <c r="B43" s="51" t="s">
        <v>101</v>
      </c>
      <c r="D43" s="51">
        <f>sensitivity_grid!A7</f>
        <v>0.75</v>
      </c>
      <c r="E43" s="51">
        <f>sensitivity_grid!B7</f>
        <v>3.5</v>
      </c>
      <c r="F43" s="51">
        <f>sensitivity_grid!C7</f>
        <v>16.28</v>
      </c>
      <c r="G43" s="53">
        <f>sensitivity_grid!D7</f>
        <v>-722218</v>
      </c>
    </row>
    <row r="44" spans="1:11" x14ac:dyDescent="0.2">
      <c r="A44" s="51" t="s">
        <v>238</v>
      </c>
      <c r="B44" s="51" t="s">
        <v>101</v>
      </c>
      <c r="D44" s="51">
        <f>sensitivity_grid!A8</f>
        <v>0.75</v>
      </c>
      <c r="E44" s="51">
        <f>sensitivity_grid!B8</f>
        <v>4.25</v>
      </c>
      <c r="F44" s="51">
        <f>sensitivity_grid!C8</f>
        <v>17.03</v>
      </c>
      <c r="G44" s="53">
        <f>sensitivity_grid!D8</f>
        <v>-638095</v>
      </c>
    </row>
    <row r="45" spans="1:11" x14ac:dyDescent="0.2">
      <c r="A45" s="51" t="s">
        <v>238</v>
      </c>
      <c r="B45" s="51" t="s">
        <v>101</v>
      </c>
      <c r="D45" s="51">
        <f>sensitivity_grid!A9</f>
        <v>0.75</v>
      </c>
      <c r="E45" s="51">
        <f>sensitivity_grid!B9</f>
        <v>5</v>
      </c>
      <c r="F45" s="51">
        <f>sensitivity_grid!C9</f>
        <v>17.78</v>
      </c>
      <c r="G45" s="53">
        <f>sensitivity_grid!D9</f>
        <v>-553972</v>
      </c>
    </row>
    <row r="46" spans="1:11" x14ac:dyDescent="0.2">
      <c r="A46" s="51" t="s">
        <v>238</v>
      </c>
      <c r="B46" s="51" t="s">
        <v>101</v>
      </c>
      <c r="D46" s="51">
        <f>sensitivity_grid!A10</f>
        <v>0.75</v>
      </c>
      <c r="E46" s="51">
        <f>sensitivity_grid!B10</f>
        <v>5.75</v>
      </c>
      <c r="F46" s="51">
        <f>sensitivity_grid!C10</f>
        <v>18.53</v>
      </c>
      <c r="G46" s="53">
        <f>sensitivity_grid!D10</f>
        <v>-469850</v>
      </c>
    </row>
    <row r="47" spans="1:11" x14ac:dyDescent="0.2">
      <c r="A47" s="51" t="s">
        <v>238</v>
      </c>
      <c r="B47" s="51" t="s">
        <v>101</v>
      </c>
      <c r="D47" s="51">
        <f>sensitivity_grid!A11</f>
        <v>0.75</v>
      </c>
      <c r="E47" s="51">
        <f>sensitivity_grid!B11</f>
        <v>6.5</v>
      </c>
      <c r="F47" s="51">
        <f>sensitivity_grid!C11</f>
        <v>19.28</v>
      </c>
      <c r="G47" s="53">
        <f>sensitivity_grid!D11</f>
        <v>-385727</v>
      </c>
    </row>
    <row r="48" spans="1:11" x14ac:dyDescent="0.2">
      <c r="A48" s="51" t="s">
        <v>238</v>
      </c>
      <c r="B48" s="51" t="s">
        <v>101</v>
      </c>
      <c r="D48" s="51">
        <f>sensitivity_grid!A12</f>
        <v>1</v>
      </c>
      <c r="E48" s="51">
        <f>sensitivity_grid!B12</f>
        <v>3.5</v>
      </c>
      <c r="F48" s="51">
        <f>sensitivity_grid!C12</f>
        <v>16.28</v>
      </c>
      <c r="G48" s="53">
        <f>sensitivity_grid!D12</f>
        <v>-406185</v>
      </c>
    </row>
    <row r="49" spans="1:7" x14ac:dyDescent="0.2">
      <c r="A49" s="51" t="s">
        <v>238</v>
      </c>
      <c r="B49" s="51" t="s">
        <v>101</v>
      </c>
      <c r="D49" s="51">
        <f>sensitivity_grid!A13</f>
        <v>1</v>
      </c>
      <c r="E49" s="51">
        <f>sensitivity_grid!B13</f>
        <v>4.25</v>
      </c>
      <c r="F49" s="51">
        <f>sensitivity_grid!C13</f>
        <v>17.03</v>
      </c>
      <c r="G49" s="53">
        <f>sensitivity_grid!D13</f>
        <v>-310045</v>
      </c>
    </row>
    <row r="50" spans="1:7" x14ac:dyDescent="0.2">
      <c r="A50" s="51" t="s">
        <v>238</v>
      </c>
      <c r="B50" s="51" t="s">
        <v>101</v>
      </c>
      <c r="D50" s="51">
        <f>sensitivity_grid!A14</f>
        <v>1</v>
      </c>
      <c r="E50" s="51">
        <f>sensitivity_grid!B14</f>
        <v>5</v>
      </c>
      <c r="F50" s="51">
        <f>sensitivity_grid!C14</f>
        <v>17.78</v>
      </c>
      <c r="G50" s="53">
        <f>sensitivity_grid!D14</f>
        <v>-213905</v>
      </c>
    </row>
    <row r="51" spans="1:7" x14ac:dyDescent="0.2">
      <c r="A51" s="51" t="s">
        <v>238</v>
      </c>
      <c r="B51" s="51" t="s">
        <v>101</v>
      </c>
      <c r="D51" s="51">
        <f>sensitivity_grid!A15</f>
        <v>1</v>
      </c>
      <c r="E51" s="51">
        <f>sensitivity_grid!B15</f>
        <v>5.75</v>
      </c>
      <c r="F51" s="51">
        <f>sensitivity_grid!C15</f>
        <v>18.53</v>
      </c>
      <c r="G51" s="53">
        <f>sensitivity_grid!D15</f>
        <v>-117764</v>
      </c>
    </row>
    <row r="52" spans="1:7" x14ac:dyDescent="0.2">
      <c r="A52" s="51" t="s">
        <v>238</v>
      </c>
      <c r="B52" s="51" t="s">
        <v>101</v>
      </c>
      <c r="D52" s="51">
        <f>sensitivity_grid!A16</f>
        <v>1</v>
      </c>
      <c r="E52" s="51">
        <f>sensitivity_grid!B16</f>
        <v>6.5</v>
      </c>
      <c r="F52" s="51">
        <f>sensitivity_grid!C16</f>
        <v>19.28</v>
      </c>
      <c r="G52" s="53">
        <f>sensitivity_grid!D16</f>
        <v>-21624</v>
      </c>
    </row>
    <row r="53" spans="1:7" x14ac:dyDescent="0.2">
      <c r="A53" s="51" t="s">
        <v>238</v>
      </c>
      <c r="B53" s="51" t="s">
        <v>101</v>
      </c>
      <c r="D53" s="51">
        <f>sensitivity_grid!A17</f>
        <v>1.25</v>
      </c>
      <c r="E53" s="51">
        <f>sensitivity_grid!B17</f>
        <v>3.5</v>
      </c>
      <c r="F53" s="51">
        <f>sensitivity_grid!C17</f>
        <v>16.28</v>
      </c>
      <c r="G53" s="53">
        <f>sensitivity_grid!D17</f>
        <v>-90152</v>
      </c>
    </row>
    <row r="54" spans="1:7" x14ac:dyDescent="0.2">
      <c r="A54" s="51" t="s">
        <v>238</v>
      </c>
      <c r="B54" s="51" t="s">
        <v>101</v>
      </c>
      <c r="D54" s="51">
        <f>sensitivity_grid!A18</f>
        <v>1.25</v>
      </c>
      <c r="E54" s="51">
        <f>sensitivity_grid!B18</f>
        <v>4.25</v>
      </c>
      <c r="F54" s="51">
        <f>sensitivity_grid!C18</f>
        <v>17.03</v>
      </c>
      <c r="G54" s="53">
        <f>sensitivity_grid!D18</f>
        <v>18005</v>
      </c>
    </row>
    <row r="55" spans="1:7" x14ac:dyDescent="0.2">
      <c r="A55" s="51" t="s">
        <v>238</v>
      </c>
      <c r="B55" s="51" t="s">
        <v>101</v>
      </c>
      <c r="D55" s="51">
        <f>sensitivity_grid!A19</f>
        <v>1.25</v>
      </c>
      <c r="E55" s="51">
        <f>sensitivity_grid!B19</f>
        <v>5</v>
      </c>
      <c r="F55" s="51">
        <f>sensitivity_grid!C19</f>
        <v>17.78</v>
      </c>
      <c r="G55" s="53">
        <f>sensitivity_grid!D19</f>
        <v>126163</v>
      </c>
    </row>
    <row r="56" spans="1:7" x14ac:dyDescent="0.2">
      <c r="A56" s="51" t="s">
        <v>238</v>
      </c>
      <c r="B56" s="51" t="s">
        <v>101</v>
      </c>
      <c r="D56" s="51">
        <f>sensitivity_grid!A20</f>
        <v>1.25</v>
      </c>
      <c r="E56" s="51">
        <f>sensitivity_grid!B20</f>
        <v>5.75</v>
      </c>
      <c r="F56" s="51">
        <f>sensitivity_grid!C20</f>
        <v>18.53</v>
      </c>
      <c r="G56" s="53">
        <f>sensitivity_grid!D20</f>
        <v>234321</v>
      </c>
    </row>
    <row r="57" spans="1:7" x14ac:dyDescent="0.2">
      <c r="A57" s="51" t="s">
        <v>238</v>
      </c>
      <c r="B57" s="51" t="s">
        <v>101</v>
      </c>
      <c r="D57" s="51">
        <f>sensitivity_grid!A21</f>
        <v>1.25</v>
      </c>
      <c r="E57" s="51">
        <f>sensitivity_grid!B21</f>
        <v>6.5</v>
      </c>
      <c r="F57" s="51">
        <f>sensitivity_grid!C21</f>
        <v>19.28</v>
      </c>
      <c r="G57" s="53">
        <f>sensitivity_grid!D21</f>
        <v>342478</v>
      </c>
    </row>
    <row r="58" spans="1:7" x14ac:dyDescent="0.2">
      <c r="A58" s="51" t="s">
        <v>238</v>
      </c>
      <c r="B58" s="51" t="s">
        <v>101</v>
      </c>
      <c r="D58" s="51">
        <f>sensitivity_grid!A22</f>
        <v>1.5</v>
      </c>
      <c r="E58" s="51">
        <f>sensitivity_grid!B22</f>
        <v>3.5</v>
      </c>
      <c r="F58" s="51">
        <f>sensitivity_grid!C22</f>
        <v>16.28</v>
      </c>
      <c r="G58" s="53">
        <f>sensitivity_grid!D22</f>
        <v>225880</v>
      </c>
    </row>
    <row r="59" spans="1:7" x14ac:dyDescent="0.2">
      <c r="A59" s="51" t="s">
        <v>238</v>
      </c>
      <c r="B59" s="51" t="s">
        <v>101</v>
      </c>
      <c r="D59" s="51">
        <f>sensitivity_grid!A23</f>
        <v>1.5</v>
      </c>
      <c r="E59" s="51">
        <f>sensitivity_grid!B23</f>
        <v>4.25</v>
      </c>
      <c r="F59" s="51">
        <f>sensitivity_grid!C23</f>
        <v>17.03</v>
      </c>
      <c r="G59" s="53">
        <f>sensitivity_grid!D23</f>
        <v>346056</v>
      </c>
    </row>
    <row r="60" spans="1:7" x14ac:dyDescent="0.2">
      <c r="A60" s="51" t="s">
        <v>238</v>
      </c>
      <c r="B60" s="51" t="s">
        <v>101</v>
      </c>
      <c r="D60" s="51">
        <f>sensitivity_grid!A24</f>
        <v>1.5</v>
      </c>
      <c r="E60" s="51">
        <f>sensitivity_grid!B24</f>
        <v>5</v>
      </c>
      <c r="F60" s="51">
        <f>sensitivity_grid!C24</f>
        <v>17.78</v>
      </c>
      <c r="G60" s="53">
        <f>sensitivity_grid!D24</f>
        <v>466231</v>
      </c>
    </row>
    <row r="61" spans="1:7" x14ac:dyDescent="0.2">
      <c r="A61" s="51" t="s">
        <v>238</v>
      </c>
      <c r="B61" s="51" t="s">
        <v>101</v>
      </c>
      <c r="D61" s="51">
        <f>sensitivity_grid!A25</f>
        <v>1.5</v>
      </c>
      <c r="E61" s="51">
        <f>sensitivity_grid!B25</f>
        <v>5.75</v>
      </c>
      <c r="F61" s="51">
        <f>sensitivity_grid!C25</f>
        <v>18.53</v>
      </c>
      <c r="G61" s="53">
        <f>sensitivity_grid!D25</f>
        <v>586406</v>
      </c>
    </row>
    <row r="62" spans="1:7" x14ac:dyDescent="0.2">
      <c r="A62" s="51" t="s">
        <v>238</v>
      </c>
      <c r="B62" s="51" t="s">
        <v>101</v>
      </c>
      <c r="D62" s="51">
        <f>sensitivity_grid!A26</f>
        <v>1.5</v>
      </c>
      <c r="E62" s="51">
        <f>sensitivity_grid!B26</f>
        <v>6.5</v>
      </c>
      <c r="F62" s="51">
        <f>sensitivity_grid!C26</f>
        <v>19.28</v>
      </c>
      <c r="G62" s="53">
        <f>sensitivity_grid!D26</f>
        <v>706581</v>
      </c>
    </row>
  </sheetData>
  <pageMargins left="0.75" right="0.75" top="1" bottom="1" header="0.5" footer="0.5"/>
  <pageSetup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F54"/>
  <sheetViews>
    <sheetView showGridLines="0" workbookViewId="0"/>
  </sheetViews>
  <sheetFormatPr baseColWidth="10" defaultColWidth="8.83203125" defaultRowHeight="15" x14ac:dyDescent="0.2"/>
  <cols>
    <col min="1" max="1" width="22" customWidth="1"/>
    <col min="2" max="6" width="19" customWidth="1"/>
  </cols>
  <sheetData>
    <row r="1" spans="1:2" ht="18" x14ac:dyDescent="0.2">
      <c r="A1" s="1" t="s">
        <v>239</v>
      </c>
    </row>
    <row r="3" spans="1:2" x14ac:dyDescent="0.2">
      <c r="A3" s="23" t="s">
        <v>240</v>
      </c>
      <c r="B3" s="23" t="s">
        <v>241</v>
      </c>
    </row>
    <row r="4" spans="1:2" x14ac:dyDescent="0.2">
      <c r="A4" s="51" t="s">
        <v>101</v>
      </c>
      <c r="B4" s="56">
        <f>scenario_results!G2/1000000</f>
        <v>-0.21390500000000001</v>
      </c>
    </row>
    <row r="5" spans="1:2" x14ac:dyDescent="0.2">
      <c r="A5" s="51" t="s">
        <v>102</v>
      </c>
      <c r="B5" s="56">
        <f>scenario_results!G3/1000000</f>
        <v>1.647821</v>
      </c>
    </row>
    <row r="6" spans="1:2" x14ac:dyDescent="0.2">
      <c r="A6" s="51" t="s">
        <v>103</v>
      </c>
      <c r="B6" s="56">
        <f>scenario_results!G4/1000000</f>
        <v>-1.7941510000000001</v>
      </c>
    </row>
    <row r="24" spans="1:4" x14ac:dyDescent="0.2">
      <c r="A24" s="23" t="s">
        <v>124</v>
      </c>
      <c r="B24" s="23" t="s">
        <v>102</v>
      </c>
      <c r="C24" s="23" t="s">
        <v>101</v>
      </c>
      <c r="D24" s="23" t="s">
        <v>103</v>
      </c>
    </row>
    <row r="25" spans="1:4" x14ac:dyDescent="0.2">
      <c r="A25" s="51">
        <f>scenario_cash_flows!B2</f>
        <v>0</v>
      </c>
      <c r="B25" s="57">
        <f>scenario_cash_flows!D13/1000000</f>
        <v>-1.3084229999999999</v>
      </c>
      <c r="C25" s="57">
        <f>scenario_cash_flows!D2/1000000</f>
        <v>-1.447549</v>
      </c>
      <c r="D25" s="57">
        <f>scenario_cash_flows!D24/1000000</f>
        <v>-1.795363</v>
      </c>
    </row>
    <row r="26" spans="1:4" x14ac:dyDescent="0.2">
      <c r="A26" s="51">
        <f>scenario_cash_flows!B3</f>
        <v>1</v>
      </c>
      <c r="B26" s="57">
        <f>scenario_cash_flows!D14/1000000</f>
        <v>-0.88860300000000003</v>
      </c>
      <c r="C26" s="57">
        <f>scenario_cash_flows!D3/1000000</f>
        <v>-1.2723580000000001</v>
      </c>
      <c r="D26" s="57">
        <f>scenario_cash_flows!D25/1000000</f>
        <v>-1.795191</v>
      </c>
    </row>
    <row r="27" spans="1:4" x14ac:dyDescent="0.2">
      <c r="A27" s="51">
        <f>scenario_cash_flows!B4</f>
        <v>2</v>
      </c>
      <c r="B27" s="57">
        <f>scenario_cash_flows!D15/1000000</f>
        <v>-0.45618900000000001</v>
      </c>
      <c r="C27" s="57">
        <f>scenario_cash_flows!D4/1000000</f>
        <v>-1.0919110000000001</v>
      </c>
      <c r="D27" s="57">
        <f>scenario_cash_flows!D26/1000000</f>
        <v>-1.7950140000000001</v>
      </c>
    </row>
    <row r="28" spans="1:4" x14ac:dyDescent="0.2">
      <c r="A28" s="51">
        <f>scenario_cash_flows!B5</f>
        <v>3</v>
      </c>
      <c r="B28" s="57">
        <f>scenario_cash_flows!D16/1000000</f>
        <v>-1.0803E-2</v>
      </c>
      <c r="C28" s="57">
        <f>scenario_cash_flows!D5/1000000</f>
        <v>-0.90605000000000002</v>
      </c>
      <c r="D28" s="57">
        <f>scenario_cash_flows!D27/1000000</f>
        <v>-1.7948310000000001</v>
      </c>
    </row>
    <row r="29" spans="1:4" x14ac:dyDescent="0.2">
      <c r="A29" s="51">
        <f>scenario_cash_flows!B6</f>
        <v>4</v>
      </c>
      <c r="B29" s="57">
        <f>scenario_cash_flows!D17/1000000</f>
        <v>0.44794499999999998</v>
      </c>
      <c r="C29" s="57">
        <f>scenario_cash_flows!D6/1000000</f>
        <v>-0.71461399999999997</v>
      </c>
      <c r="D29" s="57">
        <f>scenario_cash_flows!D28/1000000</f>
        <v>-1.794643</v>
      </c>
    </row>
    <row r="30" spans="1:4" x14ac:dyDescent="0.2">
      <c r="A30" s="51">
        <f>scenario_cash_flows!B7</f>
        <v>5</v>
      </c>
      <c r="B30" s="57">
        <f>scenario_cash_flows!D18/1000000</f>
        <v>0.92045600000000005</v>
      </c>
      <c r="C30" s="57">
        <f>scenario_cash_flows!D7/1000000</f>
        <v>-0.51743499999999998</v>
      </c>
      <c r="D30" s="57">
        <f>scenario_cash_flows!D29/1000000</f>
        <v>-1.794449</v>
      </c>
    </row>
    <row r="31" spans="1:4" x14ac:dyDescent="0.2">
      <c r="A31" s="51">
        <f>scenario_cash_flows!B8</f>
        <v>6</v>
      </c>
      <c r="B31" s="57">
        <f>scenario_cash_flows!D19/1000000</f>
        <v>1.4071419999999999</v>
      </c>
      <c r="C31" s="57">
        <f>scenario_cash_flows!D8/1000000</f>
        <v>-0.31434000000000001</v>
      </c>
      <c r="D31" s="57">
        <f>scenario_cash_flows!D30/1000000</f>
        <v>-1.7942499999999999</v>
      </c>
    </row>
    <row r="32" spans="1:4" x14ac:dyDescent="0.2">
      <c r="A32" s="51">
        <f>scenario_cash_flows!B9</f>
        <v>7</v>
      </c>
      <c r="B32" s="57">
        <f>scenario_cash_flows!D20/1000000</f>
        <v>1.908428</v>
      </c>
      <c r="C32" s="57">
        <f>scenario_cash_flows!D9/1000000</f>
        <v>-0.105153</v>
      </c>
      <c r="D32" s="57">
        <f>scenario_cash_flows!D31/1000000</f>
        <v>-1.7940449999999999</v>
      </c>
    </row>
    <row r="33" spans="1:6" x14ac:dyDescent="0.2">
      <c r="A33" s="51">
        <f>scenario_cash_flows!B10</f>
        <v>8</v>
      </c>
      <c r="B33" s="57">
        <f>scenario_cash_flows!D21/1000000</f>
        <v>2.4247540000000001</v>
      </c>
      <c r="C33" s="57">
        <f>scenario_cash_flows!D10/1000000</f>
        <v>0.11031000000000001</v>
      </c>
      <c r="D33" s="57">
        <f>scenario_cash_flows!D32/1000000</f>
        <v>-1.793833</v>
      </c>
    </row>
    <row r="34" spans="1:6" x14ac:dyDescent="0.2">
      <c r="A34" s="51">
        <f>scenario_cash_flows!B11</f>
        <v>9</v>
      </c>
      <c r="B34" s="57">
        <f>scenario_cash_flows!D22/1000000</f>
        <v>2.9565679999999999</v>
      </c>
      <c r="C34" s="57">
        <f>scenario_cash_flows!D11/1000000</f>
        <v>0.332237</v>
      </c>
      <c r="D34" s="57">
        <f>scenario_cash_flows!D33/1000000</f>
        <v>-1.793615</v>
      </c>
    </row>
    <row r="35" spans="1:6" x14ac:dyDescent="0.2">
      <c r="A35" s="51">
        <f>scenario_cash_flows!B12</f>
        <v>10</v>
      </c>
      <c r="B35" s="57">
        <f>scenario_cash_flows!D23/1000000</f>
        <v>3.5043380000000002</v>
      </c>
      <c r="C35" s="57">
        <f>scenario_cash_flows!D12/1000000</f>
        <v>0.56082200000000004</v>
      </c>
      <c r="D35" s="57">
        <f>scenario_cash_flows!D34/1000000</f>
        <v>-1.79339</v>
      </c>
    </row>
    <row r="45" spans="1:6" ht="16" x14ac:dyDescent="0.2">
      <c r="A45" s="58" t="s">
        <v>242</v>
      </c>
    </row>
    <row r="46" spans="1:6" x14ac:dyDescent="0.2">
      <c r="A46" s="2" t="s">
        <v>243</v>
      </c>
    </row>
    <row r="47" spans="1:6" ht="16" x14ac:dyDescent="0.2">
      <c r="A47" s="58" t="s">
        <v>244</v>
      </c>
      <c r="B47" s="59" t="str">
        <f>"+$"&amp;TEXT(Sensitivity!C4,"0.00")&amp;" ($"&amp;TEXT(Sensitivity!C5,"0.00")&amp;")"</f>
        <v>+$3.50 ($16.28)</v>
      </c>
      <c r="C47" s="59" t="str">
        <f>"+$"&amp;TEXT(Sensitivity!D4,"0.00")&amp;" ($"&amp;TEXT(Sensitivity!D5,"0.00")&amp;")"</f>
        <v>+$4.25 ($17.03)</v>
      </c>
      <c r="D47" s="59" t="str">
        <f>"+$"&amp;TEXT(Sensitivity!E4,"0.00")&amp;" ($"&amp;TEXT(Sensitivity!E5,"0.00")&amp;")"</f>
        <v>+$5.00 ($17.78)</v>
      </c>
      <c r="E47" s="59" t="str">
        <f>"+$"&amp;TEXT(Sensitivity!F4,"0.00")&amp;" ($"&amp;TEXT(Sensitivity!F5,"0.00")&amp;")"</f>
        <v>+$5.75 ($18.53)</v>
      </c>
      <c r="F47" s="59" t="str">
        <f>"+$"&amp;TEXT(Sensitivity!G4,"0.00")&amp;" ($"&amp;TEXT(Sensitivity!G5,"0.00")&amp;")"</f>
        <v>+$6.50 ($19.28)</v>
      </c>
    </row>
    <row r="48" spans="1:6" ht="30" customHeight="1" x14ac:dyDescent="0.2">
      <c r="A48" s="60">
        <f>Sensitivity!B6</f>
        <v>0.5</v>
      </c>
      <c r="B48" s="61">
        <f>Sensitivity!C6/1000</f>
        <v>-1038.2501705064922</v>
      </c>
      <c r="C48" s="61">
        <f>Sensitivity!D6/1000</f>
        <v>-966.14505418281817</v>
      </c>
      <c r="D48" s="61">
        <f>Sensitivity!E6/1000</f>
        <v>-894.03993785914395</v>
      </c>
      <c r="E48" s="61">
        <f>Sensitivity!F6/1000</f>
        <v>-821.93482153546972</v>
      </c>
      <c r="F48" s="61">
        <f>Sensitivity!G6/1000</f>
        <v>-749.82970521179584</v>
      </c>
    </row>
    <row r="49" spans="1:6" ht="30" customHeight="1" x14ac:dyDescent="0.2">
      <c r="A49" s="60">
        <f>Sensitivity!B7</f>
        <v>0.75</v>
      </c>
      <c r="B49" s="61">
        <f>Sensitivity!C7/1000</f>
        <v>-722.21751765543945</v>
      </c>
      <c r="C49" s="61">
        <f>Sensitivity!D7/1000</f>
        <v>-638.09488194448625</v>
      </c>
      <c r="D49" s="61">
        <f>Sensitivity!E7/1000</f>
        <v>-553.97224623353293</v>
      </c>
      <c r="E49" s="61">
        <f>Sensitivity!F7/1000</f>
        <v>-469.84961052257989</v>
      </c>
      <c r="F49" s="61">
        <f>Sensitivity!G7/1000</f>
        <v>-385.7269748116268</v>
      </c>
    </row>
    <row r="50" spans="1:6" ht="30" customHeight="1" x14ac:dyDescent="0.2">
      <c r="A50" s="60">
        <f>Sensitivity!B8</f>
        <v>1</v>
      </c>
      <c r="B50" s="61">
        <f>Sensitivity!C8/1000</f>
        <v>-406.18486480438662</v>
      </c>
      <c r="C50" s="61">
        <f>Sensitivity!D8/1000</f>
        <v>-310.04470970615466</v>
      </c>
      <c r="D50" s="61">
        <f>Sensitivity!E8/1000</f>
        <v>-213.90455460792222</v>
      </c>
      <c r="E50" s="61">
        <f>Sensitivity!F8/1000</f>
        <v>-117.76439950969001</v>
      </c>
      <c r="F50" s="61">
        <f>Sensitivity!G8/1000</f>
        <v>-21.624244411458029</v>
      </c>
    </row>
    <row r="51" spans="1:6" ht="30" customHeight="1" x14ac:dyDescent="0.2">
      <c r="A51" s="60">
        <f>Sensitivity!B9</f>
        <v>1.25</v>
      </c>
      <c r="B51" s="61">
        <f>Sensitivity!C9/1000</f>
        <v>-90.152211953334046</v>
      </c>
      <c r="C51" s="61">
        <f>Sensitivity!D9/1000</f>
        <v>18.005462532177567</v>
      </c>
      <c r="D51" s="61">
        <f>Sensitivity!E9/1000</f>
        <v>126.16313701768848</v>
      </c>
      <c r="E51" s="61">
        <f>Sensitivity!F9/1000</f>
        <v>234.32081150319985</v>
      </c>
      <c r="F51" s="61">
        <f>Sensitivity!G9/1000</f>
        <v>342.47848598871099</v>
      </c>
    </row>
    <row r="52" spans="1:6" ht="30" customHeight="1" x14ac:dyDescent="0.2">
      <c r="A52" s="60">
        <f>Sensitivity!B10</f>
        <v>1.5</v>
      </c>
      <c r="B52" s="61">
        <f>Sensitivity!C10/1000</f>
        <v>225.88044089771924</v>
      </c>
      <c r="C52" s="61">
        <f>Sensitivity!D10/1000</f>
        <v>346.05563477050953</v>
      </c>
      <c r="D52" s="61">
        <f>Sensitivity!E10/1000</f>
        <v>466.23082864329962</v>
      </c>
      <c r="E52" s="61">
        <f>Sensitivity!F10/1000</f>
        <v>586.40602251608993</v>
      </c>
      <c r="F52" s="61">
        <f>Sensitivity!G10/1000</f>
        <v>706.58121638887985</v>
      </c>
    </row>
    <row r="54" spans="1:6" x14ac:dyDescent="0.2">
      <c r="A54" s="2" t="s">
        <v>245</v>
      </c>
    </row>
  </sheetData>
  <conditionalFormatting sqref="B48:F52">
    <cfRule type="colorScale" priority="1">
      <colorScale>
        <cfvo type="min"/>
        <cfvo type="num" val="0"/>
        <cfvo type="max"/>
        <color rgb="FFE34948"/>
        <color rgb="FFF0EFEC"/>
        <color rgb="FF2A78D6"/>
      </colorScale>
    </cfRule>
  </conditionalFormatting>
  <pageMargins left="0.75" right="0.75" top="1" bottom="1" header="0.5" footer="0.5"/>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Inputs</vt:lpstr>
      <vt:lpstr>Model</vt:lpstr>
      <vt:lpstr>Scenarios</vt:lpstr>
      <vt:lpstr>Sensitivity</vt:lpstr>
      <vt:lpstr>Summary</vt:lpstr>
      <vt:lpstr>Checks</vt:lpstr>
      <vt:lpstr>scenario_results</vt:lpstr>
      <vt:lpstr>scenario_cash_flows</vt:lpstr>
      <vt:lpstr>sensitivity_grid</vt:lpstr>
      <vt:lpstr>key_metrics</vt:lpstr>
      <vt:lpstr>model_inputs</vt:lpstr>
      <vt:lpstr>public_inputs</vt:lpstr>
      <vt:lpstr>tableau_extract</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Saathvik Maheshuni</dc:creator>
  <cp:lastModifiedBy>Saathvik Maheshuni</cp:lastModifiedBy>
  <dcterms:created xsi:type="dcterms:W3CDTF">2026-10-20T05:19:10Z</dcterms:created>
  <dcterms:modified xsi:type="dcterms:W3CDTF">2026-10-20T05:19:28Z</dcterms:modified>
</cp:coreProperties>
</file>